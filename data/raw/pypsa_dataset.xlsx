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es" sheetId="1" r:id="rId5"/>
    <sheet state="visible" name="links" sheetId="2" r:id="rId6"/>
    <sheet state="visible" name="lines" sheetId="3" r:id="rId7"/>
    <sheet state="visible" name="linedata" sheetId="4" r:id="rId8"/>
    <sheet state="visible" name="gridsubs" sheetId="5" r:id="rId9"/>
    <sheet state="visible" name="loads" sheetId="6" r:id="rId10"/>
    <sheet state="visible" name="generators" sheetId="7" r:id="rId11"/>
  </sheets>
  <definedNames/>
  <calcPr/>
</workbook>
</file>

<file path=xl/sharedStrings.xml><?xml version="1.0" encoding="utf-8"?>
<sst xmlns="http://schemas.openxmlformats.org/spreadsheetml/2006/main" count="3709" uniqueCount="1793">
  <si>
    <t>Row 3 contains the names of relevant pypsa variables</t>
  </si>
  <si>
    <t>Bus Name</t>
  </si>
  <si>
    <t>Nominal Voltage (kV)</t>
  </si>
  <si>
    <t>name</t>
  </si>
  <si>
    <t>v_nom</t>
  </si>
  <si>
    <t>Link Name</t>
  </si>
  <si>
    <t>Sending Bus</t>
  </si>
  <si>
    <t>Receiving Bus</t>
  </si>
  <si>
    <t>Limit of the Import Link (MW)</t>
  </si>
  <si>
    <t>Minimum Dispatch (pu)</t>
  </si>
  <si>
    <t>Marginal Cost (USD/MWh)</t>
  </si>
  <si>
    <t>bus0</t>
  </si>
  <si>
    <t>bus1</t>
  </si>
  <si>
    <t>p_nom</t>
  </si>
  <si>
    <t>p_min_pu</t>
  </si>
  <si>
    <t>BheramaraHVDC_Link1</t>
  </si>
  <si>
    <t>BheramaraHVDC1_400kV_DC</t>
  </si>
  <si>
    <t>BheramaraHVDC_230kV</t>
  </si>
  <si>
    <t>BheramaraHVDC_Link2</t>
  </si>
  <si>
    <t>BheramaraHVDC2_400kV_DC</t>
  </si>
  <si>
    <t>AdaniPP_Link1</t>
  </si>
  <si>
    <t>AdaniPPSendBus_400kV</t>
  </si>
  <si>
    <t>AdaniPPRecvBus_400kV</t>
  </si>
  <si>
    <t>TSECLSuryamaninagar_Link1</t>
  </si>
  <si>
    <t>SuryamaninagarSendBus_132kV</t>
  </si>
  <si>
    <t>SuryamaninagarRecvBus_132kV</t>
  </si>
  <si>
    <t>Line Name</t>
  </si>
  <si>
    <t>Start Bus</t>
  </si>
  <si>
    <t>End Bus</t>
  </si>
  <si>
    <t>Length(km)</t>
  </si>
  <si>
    <t>Conductor</t>
  </si>
  <si>
    <t>Line Resistance (Ohm)</t>
  </si>
  <si>
    <t>Line Inductive Reactance (Ohm)</t>
  </si>
  <si>
    <t>Line Shunt Susceptance (Siemens)</t>
  </si>
  <si>
    <t>Line Nominal Capacity (MVA)</t>
  </si>
  <si>
    <t>r</t>
  </si>
  <si>
    <t>x</t>
  </si>
  <si>
    <t>b</t>
  </si>
  <si>
    <t>s_nom</t>
  </si>
  <si>
    <t>BheramaraHVDC1_400kV_DCtoBangladesh Border1_400kV_DC_Line1</t>
  </si>
  <si>
    <t>BangladeshBorder1_400kV_DC</t>
  </si>
  <si>
    <t>Twin Finch</t>
  </si>
  <si>
    <t>BheramaraHVDC1_400kV_DCtoBangladesh Border1_400kV_DC_Line2</t>
  </si>
  <si>
    <t>Aminbazar_400kVtoMeghnaghat_400kV_Line1</t>
  </si>
  <si>
    <t>Aminbazar_400kV</t>
  </si>
  <si>
    <t>Meghnaghat_400kV</t>
  </si>
  <si>
    <t>Quad Egret</t>
  </si>
  <si>
    <t>Aminbazar_400kVtoMeghnaghat_400kV_Line2</t>
  </si>
  <si>
    <t>SuryamaninagarRecvBus_132kVtoCumillaSouth_132kV_Line1</t>
  </si>
  <si>
    <t>CumillaSouth_132kV</t>
  </si>
  <si>
    <t>SuryamaninagarRecvBus_132kVtoCumillaSouth_132kV_Line2</t>
  </si>
  <si>
    <t>Bibiyana_400kVtoKaliakoir_400kV_Line1</t>
  </si>
  <si>
    <t>Bibiyana_400kV</t>
  </si>
  <si>
    <t>Kaliakoir_400kV</t>
  </si>
  <si>
    <t>Bibiyana_400kVtoKaliakoir_400kV_Line2</t>
  </si>
  <si>
    <t>AshuganjNorth_400kVtoBhulta_400kV_Line1</t>
  </si>
  <si>
    <t>AshuganjNorth_400kV</t>
  </si>
  <si>
    <t>Bhulta_400kV</t>
  </si>
  <si>
    <t>AshuganjNorth_400kVtoBhulta_400kV_Line2</t>
  </si>
  <si>
    <t>Payra_400kVtoGopalganjNorth_400kV_Line1</t>
  </si>
  <si>
    <t>Payra_400kV</t>
  </si>
  <si>
    <t>GopalganjNorth_400kV</t>
  </si>
  <si>
    <t>Quad Finch</t>
  </si>
  <si>
    <t>Payra_400kVtoGopalganjNorth_400kV_Line2</t>
  </si>
  <si>
    <t>BSRM_230kVtoMirsarai_230kV_Line1</t>
  </si>
  <si>
    <t>BSRM_230kV</t>
  </si>
  <si>
    <t>Mirsarai_230kV</t>
  </si>
  <si>
    <t>BSRM_230kVtoMirsarai_230kV_Line2</t>
  </si>
  <si>
    <t>BheramaraHVDC2_400kV_DCtoBangladeshBorder2_400kV_DC_Line1</t>
  </si>
  <si>
    <t>BangladeshBorder2_400kV_DC</t>
  </si>
  <si>
    <t>BheramaraHVDC2_400kV_DCtoBangladeshBorder2_400kV_DC_Line2</t>
  </si>
  <si>
    <t>PayraPP_400kVtoPayra_400kV_Line1</t>
  </si>
  <si>
    <t>PayraPP_400kV</t>
  </si>
  <si>
    <t>PayraPP_400kVtoPayra_400kV_Line2</t>
  </si>
  <si>
    <t>Banskhali_400kVtoMadunaghatNew_400kV_Line1</t>
  </si>
  <si>
    <t>Banskhali_400kV</t>
  </si>
  <si>
    <t>MadunaghatNew_400kV</t>
  </si>
  <si>
    <t>Banskhali_400kVtoMadunaghatNew_400kV_Line2</t>
  </si>
  <si>
    <t>AdaniPPRecvBus_400kVtoRahanpur_400kV_Line1</t>
  </si>
  <si>
    <t>Rahanpur_400kV</t>
  </si>
  <si>
    <t>AdaniPPRecvBus_400kVtoRahanpur_400kV_Line2</t>
  </si>
  <si>
    <t>Rampal_400kVtoGopalganjNorth_400kV_Line1</t>
  </si>
  <si>
    <t>Rampal_400kV</t>
  </si>
  <si>
    <t>Rampal_400kVtoGopalganjNorth_400kV_Line2</t>
  </si>
  <si>
    <t>GopalganjNorth_400kVtoAminbazar_400kV_Line1</t>
  </si>
  <si>
    <t>GopalganjNorth_400kVtoAminbazar_400kV_Line2</t>
  </si>
  <si>
    <t>BoguraWest_400kVtoRahanpur_400kV_Line1</t>
  </si>
  <si>
    <t>BoguraWest_400kV</t>
  </si>
  <si>
    <t>BoguraWest_400kVtoRahanpur_400kV_Line2</t>
  </si>
  <si>
    <t>Barishal307MWPP_400kVtoPayraPP_400kV_Line1</t>
  </si>
  <si>
    <t>Barishal307MWPP_400kV</t>
  </si>
  <si>
    <t>Barishal307MWPP_400kVtoPayraPP_400kV_Line2</t>
  </si>
  <si>
    <t>Matarbari_400kVtoBanskhali_400kV_Line1</t>
  </si>
  <si>
    <t>Matarbari_400kV</t>
  </si>
  <si>
    <t>Matarbari_4002kVtoBanskhali_400kV_Line2</t>
  </si>
  <si>
    <t>MadunaghatNew_400kVtoKorerhat_400kV_Line1</t>
  </si>
  <si>
    <t>Korerhat_400kV</t>
  </si>
  <si>
    <t>MadunaghatNew_400kVtoKorerhat_400kV_Line2</t>
  </si>
  <si>
    <t>Meghnaghat_400kVtoKorerhat_400kV_Line1</t>
  </si>
  <si>
    <t>Meghnaghat_400kVtoKorerhat_400kV_Line2</t>
  </si>
  <si>
    <t>RNPP_400kVtoBoguraWest_400kV_Line1</t>
  </si>
  <si>
    <t>RNPP_400kV</t>
  </si>
  <si>
    <t>BoguraWest_400kVtoBarapukuriaNorth_400kV_Line1</t>
  </si>
  <si>
    <t>BarapukuriaNorth_400kV</t>
  </si>
  <si>
    <t>BoguraWest_400kVtoBarapukuriaNorth_400kV_Line2</t>
  </si>
  <si>
    <t>PayraPP_400kVtoAmtali_400kV_Line1</t>
  </si>
  <si>
    <t>Amtali_400kV</t>
  </si>
  <si>
    <t>PayraPP_400kVtoAmtali_400kV_Line2</t>
  </si>
  <si>
    <t>GopalganjNorth_400kVtoAmtali_400kV_Line1</t>
  </si>
  <si>
    <t>GopalganjNorth_400kVtoAmtali_400kV_Line2</t>
  </si>
  <si>
    <t>Amtali_400kVtoRNPL_400kV_Line1</t>
  </si>
  <si>
    <t>RNPL_400kV</t>
  </si>
  <si>
    <t>Amtali_400kVtoRNPL_400kV_Line2</t>
  </si>
  <si>
    <t>Bogura_400kVtoKaliakoir_400kV_Line1</t>
  </si>
  <si>
    <t>Bogura_400kV</t>
  </si>
  <si>
    <t>Bogura_400kVtoKaliakoir_400kV_Line2</t>
  </si>
  <si>
    <t>Aminbazar_400kVtoKaliakoir_400kV_Line1</t>
  </si>
  <si>
    <t>RNPP_400kVtoGopalganjNorth_400kV_Line1</t>
  </si>
  <si>
    <t>Ghorashal_230kVtoIshwardi_230kV_Line1</t>
  </si>
  <si>
    <t>Ghorashal_230kV</t>
  </si>
  <si>
    <t>Ishwardi_230kV</t>
  </si>
  <si>
    <t>Mallard</t>
  </si>
  <si>
    <t>Ghorashal_230kVtoIshwardi_230kV_Line2</t>
  </si>
  <si>
    <t>Tongi_230kVtoGhorashal_230kV_Line1</t>
  </si>
  <si>
    <t>Tongi_230kV</t>
  </si>
  <si>
    <t>Tongi_230kVtoGhorashal_230kV_Line2</t>
  </si>
  <si>
    <t>Ghorashal_230kVtoAshuganj_230kV_Line1</t>
  </si>
  <si>
    <t>Ashuganj_230kV</t>
  </si>
  <si>
    <t>Ghorashal_230kVtoAshuganj_230kV_Line2</t>
  </si>
  <si>
    <t>Raozan_230kVtoHathazari_230kV_Line1</t>
  </si>
  <si>
    <t>Raozan_230kV</t>
  </si>
  <si>
    <t>Hathazari_230kV</t>
  </si>
  <si>
    <t>Twin 300 sqmm</t>
  </si>
  <si>
    <t>Raozan_230kVtoHathazari_230kV_Line2</t>
  </si>
  <si>
    <t>Ashuganj_230kVtoCumillaNorth_230kV_Line1</t>
  </si>
  <si>
    <t>CumillaNorth_230kV</t>
  </si>
  <si>
    <t>Finch</t>
  </si>
  <si>
    <t>Ashuganj_230kVtoCumillaNorth_230kV_Line2</t>
  </si>
  <si>
    <t>Ghorashal_230kVtoBhulta_230kV_Line1</t>
  </si>
  <si>
    <t>Bhulta_230kV</t>
  </si>
  <si>
    <t>Twin Mallard</t>
  </si>
  <si>
    <t>Ghorashal_230kVtoBhulta_230kV_Line2</t>
  </si>
  <si>
    <t>Bhulta_230kVtoRampura_230kV_Line1</t>
  </si>
  <si>
    <t>Rampura_230kV</t>
  </si>
  <si>
    <t>Bhulta_230kVtoRampura_230kV_Line2</t>
  </si>
  <si>
    <t>Haripur_230kVtoBhulta_230kV_Line1</t>
  </si>
  <si>
    <t>Haripur_230kV</t>
  </si>
  <si>
    <t>Haripur_230kVtoBhulta_230kV_Line2</t>
  </si>
  <si>
    <t>Haripur_230kVtoMeghnaghat_230kV_Line1</t>
  </si>
  <si>
    <t>Meghnaghat_230kV</t>
  </si>
  <si>
    <t>Haripur_230kVtoMeghnaghat_230kV_Line2</t>
  </si>
  <si>
    <t>Meghnaghat_230kVtoShyampur_230kV_Line1</t>
  </si>
  <si>
    <t>Shyampur_230kV</t>
  </si>
  <si>
    <t>Meghnaghat_230kVtoShyampur_230kV_Line2</t>
  </si>
  <si>
    <t>Shyampur_230kVtoHasnabad_230kV_Line1</t>
  </si>
  <si>
    <t>Hasnabad_230kV</t>
  </si>
  <si>
    <t>Shyampur_230kVtoHasnabad_230kV_Line2</t>
  </si>
  <si>
    <t>CumillaNorth_230kVtoFeniNorth_230kV_Line1</t>
  </si>
  <si>
    <t>FeniNorth_230kV</t>
  </si>
  <si>
    <t>CumillaNorth_230kVtoFeniNorth_230kV_Line2</t>
  </si>
  <si>
    <t>FeniNorth_230kVtoBSRM_230kV_Line1</t>
  </si>
  <si>
    <t>FeniNorth_230kVtoBSRM_230kV_Line2</t>
  </si>
  <si>
    <t>BSRM_230kVtoGPH_230kV_Line1</t>
  </si>
  <si>
    <t>GPH_230kV</t>
  </si>
  <si>
    <t>BSRM_230kVtoGPH_230kV_Line2</t>
  </si>
  <si>
    <t>GPH_230kVtoAKSPL_230kV_Line1</t>
  </si>
  <si>
    <t>AKSPL_230kV</t>
  </si>
  <si>
    <t>GPH_230kVtoAKSPL_230kV_Line2</t>
  </si>
  <si>
    <t>AKSPL_230kVtoHathazari_230kV_Line1</t>
  </si>
  <si>
    <t>AKSPL_230kVtoHathazari_230kV_Line2</t>
  </si>
  <si>
    <t>AESHaripur_230kVtoHaripur_230kV_Line1</t>
  </si>
  <si>
    <t>AESHaripur_230kV</t>
  </si>
  <si>
    <t>AESHaripur_230kVtoHaripur_230kV_Line2</t>
  </si>
  <si>
    <t>CumillaNorth_230kVtoMeghnaghat_230kV_Line1</t>
  </si>
  <si>
    <t>CumillaNorth_230kVtoMeghnaghat_230kV_Line2</t>
  </si>
  <si>
    <t>Tongi_230kVtoKaliakoir_230kV_Line1</t>
  </si>
  <si>
    <t>Kaliakoir_230kV</t>
  </si>
  <si>
    <t>Twin AAAC</t>
  </si>
  <si>
    <t>Tongi_230kVtoKaliakoir_230kV_Line2</t>
  </si>
  <si>
    <t>Kaliakoir_230kVtoAminbazar_230kV_Line1</t>
  </si>
  <si>
    <t>Aminbazar_230kV</t>
  </si>
  <si>
    <t>Kaliakoir_230kVtoAminbazar_230kV_Line2</t>
  </si>
  <si>
    <t>Aminbazar_230kVtoKeraniganj_230kV_Line1</t>
  </si>
  <si>
    <t>Keraniganj_230kV</t>
  </si>
  <si>
    <t>Aminbazar_230kVtoKeraniganj_230kV_Line2</t>
  </si>
  <si>
    <t>Hasnabad_230kVtoKeraniganj_230kV_Line1</t>
  </si>
  <si>
    <t>Hasnabad_230kVtoKeraniganj_230kV_Line2</t>
  </si>
  <si>
    <t>Ashuganj_230kVtoSripur_230kV_Line1</t>
  </si>
  <si>
    <t>Sripur_230kV</t>
  </si>
  <si>
    <t>Ashuganj_230kVtoSripur_230kV_Line2</t>
  </si>
  <si>
    <t>Sripur_230kVtoSirajganjSouthWest_230kV_Line1</t>
  </si>
  <si>
    <t>SirajganjSouthWest_230kV</t>
  </si>
  <si>
    <t>Sripur_230kVtoSirajganjSouthWest_230kV_Line2</t>
  </si>
  <si>
    <t>KhulnaSouth_230kVtoJhenaidahSouth_230kV_Line1</t>
  </si>
  <si>
    <t>KhulnaSouth_230kV</t>
  </si>
  <si>
    <t>JhenaidahSouth_230kV</t>
  </si>
  <si>
    <t>KhulnaSouth_230kVtoJhenaidahSouth_230kV_Line2</t>
  </si>
  <si>
    <t>JhenaidahSouth_230kVtoBheramaraHVDC_230kV_Line1</t>
  </si>
  <si>
    <t>JhenaidahSouth_230kVtoBheramaraHVDC_230kV_Line2</t>
  </si>
  <si>
    <t>BoguraWest_230kVtoBarapukuria_230kV_Line1</t>
  </si>
  <si>
    <t>BoguraWest_230kV</t>
  </si>
  <si>
    <t>Barapukuria_230kV</t>
  </si>
  <si>
    <t>BoguraWest_230kVtoBarapukuria_230kV_Line2</t>
  </si>
  <si>
    <t>BoguraSouth_230kVtoBoguraWest_230kV_Line1</t>
  </si>
  <si>
    <t>BoguraSouth_230kV</t>
  </si>
  <si>
    <t>BoguraSouth_230kVtoBoguraWest_230kV_Line2</t>
  </si>
  <si>
    <t>BoguraSouth_230kVtoBoguraWest_230kV_Line3</t>
  </si>
  <si>
    <t>BoguraSouth_230kVtoBoguraWest_230kV_Line4</t>
  </si>
  <si>
    <t>SirajganjSouthWest_230kVtoBoguraSouth_230kV_Line1</t>
  </si>
  <si>
    <t>SirajganjSouthWest_230kVtoBoguraSouth_230kV_Line2</t>
  </si>
  <si>
    <t>Ishwardi_230kVtoBaghabari_230kV_Line1</t>
  </si>
  <si>
    <t>Baghabari_230kV</t>
  </si>
  <si>
    <t>Ishwardi_230kVtoBaghabari_230kV_Line2</t>
  </si>
  <si>
    <t>Baghabari_230kVtoSirajganjSouthWest_230kV_Line1</t>
  </si>
  <si>
    <t>Baghabari_230kVtoSirajganjSouthWest_230kV_Line2</t>
  </si>
  <si>
    <t>Fenchuganj_230kVtoBibiyana_230kV_Line1</t>
  </si>
  <si>
    <t>Fenchuganj_230kV</t>
  </si>
  <si>
    <t>Bibiyana_230kV</t>
  </si>
  <si>
    <t>Fenchuganj_230kVtoBibiyana_230kV_Line2</t>
  </si>
  <si>
    <t>Bibiyana_230kVtoShahjibazar_230kV_Line1</t>
  </si>
  <si>
    <t>Shahjibazar_230kV</t>
  </si>
  <si>
    <t>Bibiyana_230kVtoShahjibazar_230kV_Line2</t>
  </si>
  <si>
    <t>Shahjibazar_230kVtoCumillaNorth_230kV_Line1</t>
  </si>
  <si>
    <t>Shahjibazar_230kVtoCumillaNorth_230kV_Line2</t>
  </si>
  <si>
    <t>Aminbazar_230kVtoAgargaon_230kV_Line1</t>
  </si>
  <si>
    <t>Agargaon_230kV</t>
  </si>
  <si>
    <t>Aminbazar_230kVtoAgargaon_230kV_Line2</t>
  </si>
  <si>
    <t>Siddhirganj_230kVtoManiknagar_230kV_Line1</t>
  </si>
  <si>
    <t>Siddhirganj_230kV</t>
  </si>
  <si>
    <t>Maniknagar_230kV</t>
  </si>
  <si>
    <t>Siddhirganj_230kVtoManiknagar_230kV_Line2</t>
  </si>
  <si>
    <t>BarishalNorth_230kVtoBorhanuddin_230kV_Line1</t>
  </si>
  <si>
    <t>BarishalNorth_230kV</t>
  </si>
  <si>
    <t>Borhanuddin_230kV</t>
  </si>
  <si>
    <t>BarishalNorth_230kVtoBorhanuddin_230kV_Line2</t>
  </si>
  <si>
    <t>BheramaraHVDC_230kVtoBheramara_230kV_Line1</t>
  </si>
  <si>
    <t>Bheramara_230kV</t>
  </si>
  <si>
    <t>BheramaraHVDC_230kVtoBheramara_230kV_Line2</t>
  </si>
  <si>
    <t>Haripur_230kVtoSiddhirganj_230kV_Line1</t>
  </si>
  <si>
    <t>Haripur_230kVtoSiddhirganj_230kV_Line2</t>
  </si>
  <si>
    <t>BheramaraHVDC_230kVtoIshwardi_230kV_Line1</t>
  </si>
  <si>
    <t>Quad Mallard</t>
  </si>
  <si>
    <t>BheramaraHVDC_230kVtoIshwardi_230kV_Line2</t>
  </si>
  <si>
    <t>Sikalbaha_230kVtoAnwara_230kV_Line1</t>
  </si>
  <si>
    <t>Sikalbaha_230kV</t>
  </si>
  <si>
    <t>Anwara_230kV</t>
  </si>
  <si>
    <t>Sikalbaha_230kVtoAnwara_230kV_Line2</t>
  </si>
  <si>
    <t>Patuakhali_230kVtoPayra_230kV_Line1</t>
  </si>
  <si>
    <t>Patuakhali_230kV</t>
  </si>
  <si>
    <t>Payra_230kV</t>
  </si>
  <si>
    <t>Patuakhali_230kVtoPayra_230kV_Line2</t>
  </si>
  <si>
    <t>RajshahiNorth_230kVtoBheramaraHVDC_230kV_Line1</t>
  </si>
  <si>
    <t>RajshahiNorth_230kV</t>
  </si>
  <si>
    <t>RajshahiNorth_230kVtoBheramaraHVDC_230kV_Line2</t>
  </si>
  <si>
    <t>MadunaghatNew_230kVtoHathazari_230kV_Line1</t>
  </si>
  <si>
    <t>MadunaghatNew_230kV</t>
  </si>
  <si>
    <t>MadunaghatNew_230kVttoHathazari_230kV_Line2</t>
  </si>
  <si>
    <t>Rampal_230kVtoKhulnaSouth_230kV_Line1</t>
  </si>
  <si>
    <t>Rampal_230kV</t>
  </si>
  <si>
    <t>Rampal_230kVtoKhulnaSouth_230kV_Line2</t>
  </si>
  <si>
    <t>BarishalNorth_230kVtoGopalganjNorth_230kV_Line1</t>
  </si>
  <si>
    <t>GopalganjNorth_230kV</t>
  </si>
  <si>
    <t>BarishalNorth_230kVtoGopalganjNorth_230kV_Line2</t>
  </si>
  <si>
    <t>GopalganjNorth_230kVtoFaridpur_230kV_Line1</t>
  </si>
  <si>
    <t>Faridpur_230kV</t>
  </si>
  <si>
    <t>GopalganjNorth_230kVtoFaridpur_230kV_Line2</t>
  </si>
  <si>
    <t>MadunaghatNew_230kVtoSikalbaha_230kV_Line1</t>
  </si>
  <si>
    <t>MadunaghatNew_230kVtoSikalbaha_230kV_Line2</t>
  </si>
  <si>
    <t>MadunaghatNew_230kVtoMadunaghat_230kV_Line1</t>
  </si>
  <si>
    <t>Madunaghat_230kV</t>
  </si>
  <si>
    <t>MadunaghatNew_230kVtoMadunaghat_230kV_Line2</t>
  </si>
  <si>
    <t>RNPP_230kVtoBaghabari_230kV_Line1</t>
  </si>
  <si>
    <t>RNPP_230kV</t>
  </si>
  <si>
    <t>RNPP_230kVtoBaghabari_230kV_Line2</t>
  </si>
  <si>
    <t>Khulna330MW_230kVtoKhulnaSouth_230kV_Line1</t>
  </si>
  <si>
    <t>Khulna330MW_230kV</t>
  </si>
  <si>
    <t>Sonagazi_230kVtoMirsarai_230kV_Line1</t>
  </si>
  <si>
    <t>Sonagazi_230kV</t>
  </si>
  <si>
    <t>Korerhat_230kVtoChowmuhani_230kV_Line1</t>
  </si>
  <si>
    <t>Korerhat_230kV</t>
  </si>
  <si>
    <t>Chowmuhani_230kV</t>
  </si>
  <si>
    <t>Korerhat_230kVtoChowmuhani_230kV_Line2</t>
  </si>
  <si>
    <t>Korerhat_230kVtoChowmuhani_230kV_Line3</t>
  </si>
  <si>
    <t>Korerhat_230kVtoChowmuhani_230kV_Line4</t>
  </si>
  <si>
    <t>Chowmuhani_230kVtoKachua_230kV_Line1</t>
  </si>
  <si>
    <t>Kachua_230kV</t>
  </si>
  <si>
    <t>Chowmuhani_230kVtoKachua_230kV_Line2</t>
  </si>
  <si>
    <t>Chowmuhani_230kVtoKachua_230kV_Line3</t>
  </si>
  <si>
    <t>Chowmuhani_230kVtoKachua_230kV_Line4</t>
  </si>
  <si>
    <t>Chowmuhani_230kVtoMaijdee_230kV_Line1</t>
  </si>
  <si>
    <t>Maijdee_230kV</t>
  </si>
  <si>
    <t>Chowmuhani_230kVtoMaijdee_230kV_Line2</t>
  </si>
  <si>
    <t>Barapukuria_230kVtoPurbasadipur_230kV_Line1</t>
  </si>
  <si>
    <t>Purbasadipur_230kV</t>
  </si>
  <si>
    <t>Barapukuria_230kVtoPurbasadipur_230kV_Line2</t>
  </si>
  <si>
    <t>Kachua_230kVtoGazaria_230kV_Line1</t>
  </si>
  <si>
    <t>Gazaria_230kV</t>
  </si>
  <si>
    <t>Kachua_230kVtoGazaria_230kV_Line2</t>
  </si>
  <si>
    <t>Kachua_230kVtoGazaria_230kV_Line3</t>
  </si>
  <si>
    <t>Kachua_230kVtoGazaria_230kV_Line4</t>
  </si>
  <si>
    <t>GhorashalSouthWest_230kVtoGhorashal_230kV_Line1</t>
  </si>
  <si>
    <t>GhorashalSouthWest_230kV</t>
  </si>
  <si>
    <t>XLPE 2000 sq mm</t>
  </si>
  <si>
    <t>GhorashalSouthWest_230kVtoGhorashal_230kV_Line2</t>
  </si>
  <si>
    <t>GhorashalSouthWest_230kVtoGhorashal_230kV_Line3</t>
  </si>
  <si>
    <t>Shahjibazar_132kVtoBrahmanbaria_132kV_Line1</t>
  </si>
  <si>
    <t>Shahjibazar_132kV</t>
  </si>
  <si>
    <t>Brahmanbaria_132kV</t>
  </si>
  <si>
    <t>Grosbeak</t>
  </si>
  <si>
    <t>Shahjibazar_132kVtoBrahmanbaria_132kV_Line2</t>
  </si>
  <si>
    <t>Brahmanbaria_132kVtoAshuganj_132kV_Line1</t>
  </si>
  <si>
    <t>Ashuganj_132kV</t>
  </si>
  <si>
    <t>Brahmanbaria_132kVtoAshuganj_132kV_Line2</t>
  </si>
  <si>
    <t>Ashuganj_132kVtoGhorashal_132kV_Line1</t>
  </si>
  <si>
    <t>Ghorashal_132kV</t>
  </si>
  <si>
    <t>Ashuganj_132kVtoGhorashal_132kV_Line2</t>
  </si>
  <si>
    <t>Ghorashal_132kVtoNarsingdi_132kV_Line1</t>
  </si>
  <si>
    <t>Narsingdi_132kV</t>
  </si>
  <si>
    <t>Ghorashal_132kVtoNarsingdi_132kV_Line2</t>
  </si>
  <si>
    <t>Narsingdi_132kVtoBhulta_132kV_Line1</t>
  </si>
  <si>
    <t>Bhulta_132kV</t>
  </si>
  <si>
    <t>Narsingdi_132kVtoBhulta_132kV_Line2</t>
  </si>
  <si>
    <t>Bhulta_132kVtoHaripur_132kV_Line1</t>
  </si>
  <si>
    <t>Bhulta_132kVtoHaripur_132kV_Line2</t>
  </si>
  <si>
    <t>Haripur_132kVtoSiddhirganj_132kV_Line1</t>
  </si>
  <si>
    <t>Siddhirganj_132kV</t>
  </si>
  <si>
    <t>Haripur_132kVtoSiddhirganj_132kV_Line2</t>
  </si>
  <si>
    <t>Shahjibazar_132kVtoSrimangal_132kV_Line1</t>
  </si>
  <si>
    <t>Srimangal_132kV</t>
  </si>
  <si>
    <t>Shahjibazar_132kVtoSrimangal_132kV_Line2</t>
  </si>
  <si>
    <t>Srimangal_132kVtoFenchuganj_132kV_Line1</t>
  </si>
  <si>
    <t>Fenchuganj_132kV</t>
  </si>
  <si>
    <t>Srimangal_132kVtoFenchuganj_132kV_Line2</t>
  </si>
  <si>
    <t>FenchuganjPS_132kVtoFenchuganj_132kV_Line1</t>
  </si>
  <si>
    <t>FenchuganjPS_132kV</t>
  </si>
  <si>
    <t>FenchuganjPS_132kVtoFenchuganj_132kV_Line2</t>
  </si>
  <si>
    <t>FenchuganjPS_132kVtoFenchuganj_132kV_Line3</t>
  </si>
  <si>
    <t>FenchuganjPS_132kVtoFenchuganj_132kV_Line4</t>
  </si>
  <si>
    <t>FenchuganjPS_132kVtoSylhetSouth_132kV_Line1</t>
  </si>
  <si>
    <t>SylhetSouth_132kV</t>
  </si>
  <si>
    <t>SylhetSouth_132kVtoFenchuganj_132kV_Line1</t>
  </si>
  <si>
    <t>Sylhet_132kVtoSylhetSouth_132kV_Line1</t>
  </si>
  <si>
    <t>Sylhet_132kV</t>
  </si>
  <si>
    <t>Sylhet_132kVtoSylhetSouth_132kV_Line2</t>
  </si>
  <si>
    <t>Sylhet_132kVtoChhatak_132kV_Line1</t>
  </si>
  <si>
    <t>Chhatak_132kV</t>
  </si>
  <si>
    <t>Sylhet_132kVtoChhatak_132kV_Line2</t>
  </si>
  <si>
    <t>Kaptai_132kVtoHathazari_132kV_Line1</t>
  </si>
  <si>
    <t>Kaptai_132kV</t>
  </si>
  <si>
    <t>Hathazari_132kV</t>
  </si>
  <si>
    <t>Kaptai_132kVtoHathazari_132kV_Line2</t>
  </si>
  <si>
    <t>Hathazari_132kVtoBaroirhat_132kV_Line1</t>
  </si>
  <si>
    <t>Baroirhat_132kV</t>
  </si>
  <si>
    <t>Hathazari_132kVtoBaroirhat_132kV_Line2</t>
  </si>
  <si>
    <t>Feni_132kVtoCumillaNorth_132kV_Line1</t>
  </si>
  <si>
    <t>Feni_132kV</t>
  </si>
  <si>
    <t>CumillaNorth_132kV</t>
  </si>
  <si>
    <t>Feni_132kVtoCumillaNorth_132kV_Line2</t>
  </si>
  <si>
    <t>CumillaNorth_132kVtoMuradnagar_132kV_Line1</t>
  </si>
  <si>
    <t>Muradnagar_132kV</t>
  </si>
  <si>
    <t>CumillaNorth_132kVtoMuradnagar_132kV_Line2</t>
  </si>
  <si>
    <t>Muradnagar_132kVtoDaudkandi_132kV_Line1</t>
  </si>
  <si>
    <t>Daudkandi_132kV</t>
  </si>
  <si>
    <t>Muradnagar_132kVtoDaudkandi_132kV_Line2</t>
  </si>
  <si>
    <t>Daudkandi_132kVtoSonargaon_132kV_Line1</t>
  </si>
  <si>
    <t>Sonargaon_132kV</t>
  </si>
  <si>
    <t>Daudkandi_132kVtoSonargaon_132kV_Line2</t>
  </si>
  <si>
    <t>Sonargaon_132kVtoHaripur_132kV_Line1</t>
  </si>
  <si>
    <t>Haripur_132kV</t>
  </si>
  <si>
    <t>Sonargaon_132kVtoHaripur_132kV_Line2</t>
  </si>
  <si>
    <t>CumillaNorth_132kVtoKachua_132kV_Line1</t>
  </si>
  <si>
    <t>Kachua_132kV</t>
  </si>
  <si>
    <t>CumillaSouth_132kVtoKachua_132kV_Line1</t>
  </si>
  <si>
    <t>Linnet</t>
  </si>
  <si>
    <t>Kachua_132kVtoChandpur_132kV_Line1</t>
  </si>
  <si>
    <t>Chandpur_132kV</t>
  </si>
  <si>
    <t>Kachua_132kVtoChandpur_132kV_Line2</t>
  </si>
  <si>
    <t>Ashuganj_132kVtoBajitpur_132kV_Line1</t>
  </si>
  <si>
    <t>Bajitpur_132kV</t>
  </si>
  <si>
    <t>Ashuganj_132kVtoBajitpur_132kV_Line2</t>
  </si>
  <si>
    <t>Bajitpur_132kVtoKishoreganj_132kV_Line1</t>
  </si>
  <si>
    <t>Kishoreganj_132kV</t>
  </si>
  <si>
    <t>Bajitpur_132kVtoKishoreganj_132kV_Line2</t>
  </si>
  <si>
    <t>Kishoreganj_132kVtoMymensingh_132kV_Line1</t>
  </si>
  <si>
    <t>Mymensingh_132kV</t>
  </si>
  <si>
    <t>Kishoreganj_132kVtoMymensingh_132kV_Line2</t>
  </si>
  <si>
    <t>Mymensingh_132kVtoJamalpur_132kV_Line1</t>
  </si>
  <si>
    <t>Jamalpur_132kV</t>
  </si>
  <si>
    <t>Mymensingh_132kVtoJamalpur_132kV_Line2</t>
  </si>
  <si>
    <t>Madunaghat_132kVtoSikalbaha_132kV_Line1</t>
  </si>
  <si>
    <t>Madunaghat_132kV</t>
  </si>
  <si>
    <t>Sikalbaha_132kV</t>
  </si>
  <si>
    <t>Madunaghat_132kVtoTKCCL_132kV_Line1</t>
  </si>
  <si>
    <t>TKCCL_132kV</t>
  </si>
  <si>
    <t>TKCCL_132kVtoSikalbaha_132kV_Line1</t>
  </si>
  <si>
    <t>Sikalbaha_132kVtoPatiya_132kV_Line1</t>
  </si>
  <si>
    <t>Patiya_132kV</t>
  </si>
  <si>
    <t>Sikalbaha_132kVtoPatiya_132kV_Line2</t>
  </si>
  <si>
    <t>Patiya_132kVtoDohazari_132kV_Line1</t>
  </si>
  <si>
    <t>Dohazari_132kV</t>
  </si>
  <si>
    <t>Patiya_132kVtoDohazari_132kV_Line2</t>
  </si>
  <si>
    <t>Sikalbaha_132kVtoJuldah_132kV_Line1</t>
  </si>
  <si>
    <t>Juldah_132kV</t>
  </si>
  <si>
    <t>AAAC 804 sq mm</t>
  </si>
  <si>
    <t>Juldah_132kVtoHalishahar_132kV_Line1</t>
  </si>
  <si>
    <t>Halishahar_132kV</t>
  </si>
  <si>
    <t>Khulshi_132kVtoBaroaulia_132kV_Line1</t>
  </si>
  <si>
    <t>Khulshi_132kV</t>
  </si>
  <si>
    <t>Baroaulia_132kV</t>
  </si>
  <si>
    <t>Khulshi_132kVtoAKSML_132kV_Line1</t>
  </si>
  <si>
    <t>AKSML_132kV</t>
  </si>
  <si>
    <t>AKSML_132kVtoBaroaulia_132kV_Line1</t>
  </si>
  <si>
    <t>Madunaghat_132kVtoSholoshahar_132kV_Line1</t>
  </si>
  <si>
    <t>Sholoshahar_132kV</t>
  </si>
  <si>
    <t>Madunaghat_132kVtoSholoshahar_132kV_Line2</t>
  </si>
  <si>
    <t>Sholoshahar_132kVtoKhulshi_132kV_Line1</t>
  </si>
  <si>
    <t>Sholoshahar_132kVtoKhulshi_132kV_Line2</t>
  </si>
  <si>
    <t>Kaptai_132kVtoChandraghona_132kV_Line1</t>
  </si>
  <si>
    <t>Chandraghona_132kV</t>
  </si>
  <si>
    <t>Kaptai_132kVtoChandraghona_132kV_Line2</t>
  </si>
  <si>
    <t>Chandraghona_132kVtoMadunaghat_132kV_Line1</t>
  </si>
  <si>
    <t>Chandraghona_132kVtoMadunaghat_132kV_Line2</t>
  </si>
  <si>
    <t>Madunaghat_132kVtoHathazari_132kV_Line1</t>
  </si>
  <si>
    <t>Madunaghat_132kVtoHathazari_132kV_Line2</t>
  </si>
  <si>
    <t>Hathazari_132kVtoBaroaulia_132kV_Line1</t>
  </si>
  <si>
    <t>Hathazari_132kVtoBaroaulia_132kV_Line2</t>
  </si>
  <si>
    <t>Dohazari_132kVtoCox'sBazar_132kV_Line1</t>
  </si>
  <si>
    <t>Cox'sBazar_132kV</t>
  </si>
  <si>
    <t>Dohazari_132kVtoCox'sBazar_132kV_Line2</t>
  </si>
  <si>
    <t>Feni_132kVtoDaganbhuiyan_132kV_Line1</t>
  </si>
  <si>
    <t>Daganbhuiyan_132kV</t>
  </si>
  <si>
    <t>Feni_132kVtoDaganbhuiyan_132kV_Line2</t>
  </si>
  <si>
    <t>Daganbhuiyan_132kVtoChowmuhani_132kV_Line1</t>
  </si>
  <si>
    <t>Chowmuhani_132kV</t>
  </si>
  <si>
    <t>Daganbhuiyan_132kVtoChowmuhani_132kV_Line2</t>
  </si>
  <si>
    <t>Baroaulia_132kVtoKabir Steel_132kV_Line1</t>
  </si>
  <si>
    <t>Kabir Steel_132kV</t>
  </si>
  <si>
    <t>Mymensingh_132kVtoNetrokona_132kV_Line1</t>
  </si>
  <si>
    <t>Netrokona_132kV</t>
  </si>
  <si>
    <t>Mymensingh_132kVtoNetrokona_132kV_Line2</t>
  </si>
  <si>
    <t>Goalpara_132kVtoKhulnaCentral_132kV_Line1</t>
  </si>
  <si>
    <t>Goalpara_132kV</t>
  </si>
  <si>
    <t>KhulnaCentral_132kV</t>
  </si>
  <si>
    <t>Goalpara_132kVtoKhulnaCentral_132kV_Line2</t>
  </si>
  <si>
    <t>KhulnaCentral_132kVtoNoapara_132kV_Line1</t>
  </si>
  <si>
    <t>Noapara_132kV</t>
  </si>
  <si>
    <t>KhulnaCentral_132kVtoNoapara_132kV_Line2</t>
  </si>
  <si>
    <t>Noapara_132kVtoJashore_132kV_Line1</t>
  </si>
  <si>
    <t>Jashore_132kV</t>
  </si>
  <si>
    <t>Noapara_132kVtoJashore_132kV_Line2</t>
  </si>
  <si>
    <t>Jashore_132kVtoKaliganj_132kV_Line1</t>
  </si>
  <si>
    <t>Kaliganj_132kV</t>
  </si>
  <si>
    <t>Jashore_132kVtoKaliganj_132kV_Line2</t>
  </si>
  <si>
    <t>Kaliganj_132kVtoJhenaidahSouth_132kV_Line1</t>
  </si>
  <si>
    <t>JhenaidahSouth_132kV</t>
  </si>
  <si>
    <t>Kaliganj_132kVtoJhenaidahSouth_132kV_Line2</t>
  </si>
  <si>
    <t>Jhenaidah_132kVtoKushtia_132kV_Line1</t>
  </si>
  <si>
    <t>Jhenaidah_132kV</t>
  </si>
  <si>
    <t>Kushtia_132kV</t>
  </si>
  <si>
    <t>Jhenaidah_132kVtoKushtia_132kV_Line2</t>
  </si>
  <si>
    <t>Kushtia_132kVtoBheramara_132kV_Line1</t>
  </si>
  <si>
    <t>Bheramara_132kV</t>
  </si>
  <si>
    <t>Kushtia_132kVtoBheramara_132kV_Line2</t>
  </si>
  <si>
    <t>Bheramara_132kVtoIshwardi_132kV_Line1</t>
  </si>
  <si>
    <t>Ishwardi_132kV</t>
  </si>
  <si>
    <t>Bheramara_132kVtoIshwardi_132kV_Line2</t>
  </si>
  <si>
    <t>Ishwardi_132kVtoNatore_132kV_Line1</t>
  </si>
  <si>
    <t>Natore_132kV</t>
  </si>
  <si>
    <t>Ishwardi_132kVtoNatore_132kV_Line2</t>
  </si>
  <si>
    <t>Natore_132kVtoBogura_132kV_Line1</t>
  </si>
  <si>
    <t>Bogura_132kV</t>
  </si>
  <si>
    <t>Natore_132kVtoBogura_132kV_Line2</t>
  </si>
  <si>
    <t>Bogura_132kVtoMahasthangarh_132kV_Line1</t>
  </si>
  <si>
    <t>Mahasthangarh_132kV</t>
  </si>
  <si>
    <t>Bogura_132kVtoMahasthangarh_132kV_Line2</t>
  </si>
  <si>
    <t>Mahasthangarh_132kVtoPalashbari_132kV_Line1</t>
  </si>
  <si>
    <t>Palashbari_132kV</t>
  </si>
  <si>
    <t>Mahasthangarh_132kVtoPalashbari_132kV_Line2</t>
  </si>
  <si>
    <t>Palashbari_132kVtoMithapukur_132kV_Line1</t>
  </si>
  <si>
    <t>Mithapukur_132kV</t>
  </si>
  <si>
    <t>Palashbari_132kVtoMithapukur_132kV_Line2</t>
  </si>
  <si>
    <t>Mithapukur_132kVtoConfidencePP_132kV_Line1</t>
  </si>
  <si>
    <t>ConfidencePP_132kV</t>
  </si>
  <si>
    <t>Mithapukur_132kVtoConfidencePP_132kV_Line2</t>
  </si>
  <si>
    <t>ConfidencePP_132kVtoRangpur_132kV_Line1</t>
  </si>
  <si>
    <t>Rangpur_132kV</t>
  </si>
  <si>
    <t>ConfidencePP_132kVtoRangpur_132kV_Line2</t>
  </si>
  <si>
    <t>Rangpur_132kVtoTaraganj_132kV_Line1</t>
  </si>
  <si>
    <t>Taraganj_132kV</t>
  </si>
  <si>
    <t>Rangpur_132kVtoTaraganj_132kV_Line2</t>
  </si>
  <si>
    <t>Taraganj_132kVtoSaidpur_132kV_Line1</t>
  </si>
  <si>
    <t>Saidpur_132kV</t>
  </si>
  <si>
    <t>Taraganj_132kVtoSaidpur_132kV_Line2</t>
  </si>
  <si>
    <t>Saidpur_132kVtoPurbasadipur_132kV_Line1</t>
  </si>
  <si>
    <t>Purbasadipur_132kV</t>
  </si>
  <si>
    <t>Saidpur_132kVtoPurbasadipur_132kV_Line2</t>
  </si>
  <si>
    <t>Purbasadipur_132kVtoThakurgaon_132kV_Line1</t>
  </si>
  <si>
    <t>Thakurgaon_132kV</t>
  </si>
  <si>
    <t>Purbasadipur_132kVtoThakurgaon_132kV_Line2</t>
  </si>
  <si>
    <t>Rangpur_132kVtoTeestaSolar_132kV_Line1</t>
  </si>
  <si>
    <t>TeestaSolar_132kV</t>
  </si>
  <si>
    <t>Rangpur_132kVtoTeestaSolar_132kV_Line2</t>
  </si>
  <si>
    <t>Barishal_132kVtoBhandaria_132kV_Line1</t>
  </si>
  <si>
    <t>Barishal_132kV</t>
  </si>
  <si>
    <t>Bhandaria_132kV</t>
  </si>
  <si>
    <t>Hawk</t>
  </si>
  <si>
    <t>Bhandaria_132kVtoBagerhat_132kV_Line1</t>
  </si>
  <si>
    <t>Bagerhat_132kV</t>
  </si>
  <si>
    <t>Bagerhat_132kVtoMongla_132kV_Line1</t>
  </si>
  <si>
    <t>Mongla_132kV</t>
  </si>
  <si>
    <t>Barishal_132kVtoBakerganj_132kV_Line1</t>
  </si>
  <si>
    <t>Bakerganj_132kV</t>
  </si>
  <si>
    <t>Bakerganj_132kVtoPatuakhali_132kV_Line1</t>
  </si>
  <si>
    <t>Patuakhali_132kV</t>
  </si>
  <si>
    <t>Bheramara_132kVtoFaridpur_132kV_Line1</t>
  </si>
  <si>
    <t>Faridpur_132kV</t>
  </si>
  <si>
    <t>Bheramara_132kVtoFaridpur_132kV_Line2</t>
  </si>
  <si>
    <t>Faridpur_132kVtoMadaripur_132kV_Line1</t>
  </si>
  <si>
    <t>Madaripur_132kV</t>
  </si>
  <si>
    <t>Faridpur_132kVtoMadaripur_132kV_Line2</t>
  </si>
  <si>
    <t>Madaripur_132kVtoBarishalNorth_132kV_Line1</t>
  </si>
  <si>
    <t>BarishalNorth_132kV</t>
  </si>
  <si>
    <t>Madaripur_132kVtoBarishalNorth_132kV_Line2</t>
  </si>
  <si>
    <t>BarishalNorth_132kVtoBarishal_132kV_Line1</t>
  </si>
  <si>
    <t>BarishalNorth_132kVtoBarishal_132kV_Line2</t>
  </si>
  <si>
    <t>Rajshahi_132kVtoNatore_132kV_Line1</t>
  </si>
  <si>
    <t>Rajshahi_132kV</t>
  </si>
  <si>
    <t>Ishwardi_132kVtoBaghabari_132kV_Line1</t>
  </si>
  <si>
    <t>Baghabari_132kV</t>
  </si>
  <si>
    <t>Baghabari_132kVtoShahjadpur_132kV_Line1</t>
  </si>
  <si>
    <t>Shahjadpur_132kV</t>
  </si>
  <si>
    <t>Baghabari_132kVtoShahjadpur_132kV_Line2</t>
  </si>
  <si>
    <t>Baghabari_132kVtoUllapara_132kV_Line1</t>
  </si>
  <si>
    <t>Ullapara_132kV</t>
  </si>
  <si>
    <t>Shahjadpur_132kVtoUllapara_132kV_Line1</t>
  </si>
  <si>
    <t>Ishwardi_132kVtoPabna_132kV_Line1</t>
  </si>
  <si>
    <t>Pabna_132kV</t>
  </si>
  <si>
    <t>Pabna_132kVtoShahjadpur_132kV_Line1</t>
  </si>
  <si>
    <t>Bogura_132kVtoSirajganj_132kV_Line1</t>
  </si>
  <si>
    <t>Sirajganj_132kV</t>
  </si>
  <si>
    <t>Bogura_132kVtoSirajganj_132kV_Line2</t>
  </si>
  <si>
    <t>Sirajganj_132kVtoShahjadpur_132kV_Line1</t>
  </si>
  <si>
    <t>Sirajganj_132kVtoBaghabari_132kV_Line1</t>
  </si>
  <si>
    <t>Rajshahi_132kVtoRajshahiNorth_132kV_Line1</t>
  </si>
  <si>
    <t>RajshahiNorth_132kV</t>
  </si>
  <si>
    <t>Rajshahi_132kVtoRajshahiNorth_132kV_Line2</t>
  </si>
  <si>
    <t>Rangpur_132kVtoLalmonirhat_132kV_Line1</t>
  </si>
  <si>
    <t>Lalmonirhat_132kV</t>
  </si>
  <si>
    <t>Bogura_132kVtoNaogaon_132kV_Line1</t>
  </si>
  <si>
    <t>Naogaon_132kV</t>
  </si>
  <si>
    <t>Bogura_132kVtoNaogaon_132kV_Line2</t>
  </si>
  <si>
    <t>Kabirpur_132kVtoTangail_132kV_Line1</t>
  </si>
  <si>
    <t>Kabirpur_132kV</t>
  </si>
  <si>
    <t>Tangail_132kV</t>
  </si>
  <si>
    <t>Kabirpur_132kVtoTangail_132kV_Line2</t>
  </si>
  <si>
    <t>Tongi_132kVtoMirpur_132kV_Line1</t>
  </si>
  <si>
    <t>Tongi_132kV</t>
  </si>
  <si>
    <t>Mirpur_132kV</t>
  </si>
  <si>
    <t>Tongi_132kVtoUttara_132kV_Line1</t>
  </si>
  <si>
    <t>Uttara_132kV</t>
  </si>
  <si>
    <t>Uttara_132kVtoMirpur_132kV_Line1</t>
  </si>
  <si>
    <t>Mirpur_132kVtoAminbazar_132kV_Line1</t>
  </si>
  <si>
    <t>Aminbazar_132kV</t>
  </si>
  <si>
    <t>Mirpur_132kVtoAminbazar_132kV_Line2</t>
  </si>
  <si>
    <t>Aminbazar_132kVtoKallayanpur_132kV_Line1</t>
  </si>
  <si>
    <t>Kallayanpur_132kV</t>
  </si>
  <si>
    <t>Aminbazar_132kVtoKallayanpur_132kV_Line2</t>
  </si>
  <si>
    <t>Kallayanpur_132kVtoLalbagh_132kV_Line1</t>
  </si>
  <si>
    <t>Lalbagh_132kV</t>
  </si>
  <si>
    <t>Kallayanpur_132kVtoLalbagh_132kV_Line2</t>
  </si>
  <si>
    <t>Lalbagh_132kVtoKeraniganj_132kV_Line1</t>
  </si>
  <si>
    <t>Keraniganj_132kV</t>
  </si>
  <si>
    <t>Keraniganj_132kVtoKamrangirchar_132kV_Line1</t>
  </si>
  <si>
    <t>Keraniganj_132kVt</t>
  </si>
  <si>
    <t>Kamrangirchar_132kV</t>
  </si>
  <si>
    <t>Kamrangirchar_132kVtoLalbagh_132kV_Line1</t>
  </si>
  <si>
    <t>Hasnabad_132kVtoKeraniganj_132kV_Line1</t>
  </si>
  <si>
    <t>Hasnabad_132kV</t>
  </si>
  <si>
    <t>Hasnabad_132kVtoKeraniganj_132kV_Line2</t>
  </si>
  <si>
    <t>Tongi_132kVtoNewTongi_132kV_Line1</t>
  </si>
  <si>
    <t>NewTongi_132kV</t>
  </si>
  <si>
    <t>XLPE 500 sq mm</t>
  </si>
  <si>
    <t>Tongi_132kVtoNewTongi_132kV_Line2</t>
  </si>
  <si>
    <t>Hasnabad_132kVtoSitalakhya_132kV_Line1</t>
  </si>
  <si>
    <t>Sitalakhya_132kV</t>
  </si>
  <si>
    <t>Madanganj_132kVtoSitalakhya_132kV_Line1</t>
  </si>
  <si>
    <t>Madanganj_132kV</t>
  </si>
  <si>
    <t>Hasnabad_132kVtoFatullah_132kV_Line1</t>
  </si>
  <si>
    <t>Fatullah_132kV</t>
  </si>
  <si>
    <t>Fatullah_132kVtoShyampur_132kV_Line1</t>
  </si>
  <si>
    <t>Shyampur_132kV</t>
  </si>
  <si>
    <t>Shyampur_132kVtoFatullah_132kV_Line1</t>
  </si>
  <si>
    <t>Fatullah_132kVtoHaripur_132kV_Line1</t>
  </si>
  <si>
    <t>Madanganj_132kVtoHaripur_230kV_Line1</t>
  </si>
  <si>
    <t>Siddhirganj_132kVtoUllon_132kV_Line1</t>
  </si>
  <si>
    <t>Ullon_132kV</t>
  </si>
  <si>
    <t>Siddhirganj_132kVtoUllon_132kV_Line2</t>
  </si>
  <si>
    <t>Siddhirganj_132kVoMatuail_132kV_Line1</t>
  </si>
  <si>
    <t>Matuail_132kV</t>
  </si>
  <si>
    <t>Maniknagar_132kVtoMatuail_132kV_Line1</t>
  </si>
  <si>
    <t>Maniknagar_132kV</t>
  </si>
  <si>
    <t>Siddhirganj_132kVtoManiknagar_132kV_Line1</t>
  </si>
  <si>
    <t>Maniknagar_132kVtoNarinda_132kV_Line1</t>
  </si>
  <si>
    <t>Narinda_132kV</t>
  </si>
  <si>
    <t>Cu 240 sq mm</t>
  </si>
  <si>
    <t>Maniknagar_132kVtoNarinda_132kV_Line2</t>
  </si>
  <si>
    <t>Ullon_132kVtoDhanmondi_132kV_Line1</t>
  </si>
  <si>
    <t>Dhanmondi_132kV</t>
  </si>
  <si>
    <t>Ullon_132kVtoDhanmondi_132kV_Line2</t>
  </si>
  <si>
    <t>Tongi_132kVtoKabirpur_132kV_Line1</t>
  </si>
  <si>
    <t>Tongi_132kVtoKabirpur_132kV_Line2</t>
  </si>
  <si>
    <t>Kabirpur_132kVtoManikganj_132kV_Line1</t>
  </si>
  <si>
    <t>Manikganj_132kV</t>
  </si>
  <si>
    <t>Kabirpur_132kVtoManikganj_132kV_Line2</t>
  </si>
  <si>
    <t>Ullon_132kVtoRampura_132kV_Line1</t>
  </si>
  <si>
    <t>Rampura_132kV</t>
  </si>
  <si>
    <t>XLPE 800 sq mm</t>
  </si>
  <si>
    <t>Ullon_132kVtoRampura_132kV_Line2</t>
  </si>
  <si>
    <t>Rampura_132kVtoBashundhara_132kV_Line1</t>
  </si>
  <si>
    <t>Bashundhara_132kV</t>
  </si>
  <si>
    <t>Rampura_132kVtoBashundhara_132kV_Line2</t>
  </si>
  <si>
    <t>Bashundhara_132kVtoTongi_132kV_Line1</t>
  </si>
  <si>
    <t>Bashundhara_132kVtoTongi_132kV_Line2</t>
  </si>
  <si>
    <t>Rampura_132kVtoMoghbazar_132kV_Line1</t>
  </si>
  <si>
    <t>Moghbazar_132kV</t>
  </si>
  <si>
    <t>Rampura_132kVtoMoghbazar_132kV_Line2</t>
  </si>
  <si>
    <t>Ghorashal_132kVtoPubail_132kV_Line1</t>
  </si>
  <si>
    <t>Pubail_132kV</t>
  </si>
  <si>
    <t>Ghorashal_132kVtoPubail_132kV_Line2</t>
  </si>
  <si>
    <t>Pubail_132kVtoJoydebpur_132kV_Line1</t>
  </si>
  <si>
    <t>Joydebpur_132kV</t>
  </si>
  <si>
    <t>Pubail_132kVtoJoydebpur_132kV_Line2</t>
  </si>
  <si>
    <t>Chandpur_132kVtoDeshPP_132kV_Line1</t>
  </si>
  <si>
    <t>DeshPP_132kV</t>
  </si>
  <si>
    <t>Chandpur_132kVtoDeshPP_132kV_Line2</t>
  </si>
  <si>
    <t>DeshPP_132kVtoRamganj_132kV_Line1</t>
  </si>
  <si>
    <t>Ramganj_132kV</t>
  </si>
  <si>
    <t>DeshPP_132kVtoRamganj_132kV_Line2</t>
  </si>
  <si>
    <t>Ramganj_132kVtoChowmuhani_132kV_Line1</t>
  </si>
  <si>
    <t>Ramganj_132kVtoChowmuhani_132kV_Line2</t>
  </si>
  <si>
    <t>Barapukuria_132kVtoRangpur_132kV_Line1</t>
  </si>
  <si>
    <t>Barapukuria_132kV</t>
  </si>
  <si>
    <t>Barapukuria_132kVtoRangpur_132kV_Line2</t>
  </si>
  <si>
    <t>Barapukuria_132kVtoSaidpur_132kV_Line1</t>
  </si>
  <si>
    <t>Barapukuria_132kVtoSaidpur_132kV_Line2</t>
  </si>
  <si>
    <t>Madaripur_132kVtoGopalganjNorth_132kV_Line1</t>
  </si>
  <si>
    <t>GopalganjNorth_132kV</t>
  </si>
  <si>
    <t>Madaripur_132kVtoGopalganjNorth_132kV_Line2</t>
  </si>
  <si>
    <t>Madaripur_132kVtoGopalganjNorth_132kV_Line3</t>
  </si>
  <si>
    <t>Madaripur_132kVtoGopalganjNorth_132kV_Line4</t>
  </si>
  <si>
    <t>GopalganjNorth_132kVtoGopalganj_132kV_Line1</t>
  </si>
  <si>
    <t>Gopalganj_132kV</t>
  </si>
  <si>
    <t>GopalganjNorth_132kVtoGopalganj_132kV_Line2</t>
  </si>
  <si>
    <t>GopalganjNorth_132kVtoFaridpur_132kV_Line1</t>
  </si>
  <si>
    <t>GopalganjNorth_132kVtoFaridpur_132kV_Line2</t>
  </si>
  <si>
    <t>Faridpur_132kVtoRajbari_132kV_Line1</t>
  </si>
  <si>
    <t>Rajbari_132kV</t>
  </si>
  <si>
    <t>Faridpur_132kVtoRajbari_132kV_Line2</t>
  </si>
  <si>
    <t>Rajbari_132kVtoBheramara_132kV_Line1</t>
  </si>
  <si>
    <t>Rajbari_132kVtoBheramara_132kV_Line2</t>
  </si>
  <si>
    <t>KhulnaCentral_132kVtoKhulnaSouth_132kV_Line1</t>
  </si>
  <si>
    <t>KhulnaSouth_132kV</t>
  </si>
  <si>
    <t>KhulnaCentral_132kVtoKhulnaSouth_132kV_Line2</t>
  </si>
  <si>
    <t>KhulnaSouth_132kVtoSatkhira_132kV_Line1</t>
  </si>
  <si>
    <t>Satkhira_132kV</t>
  </si>
  <si>
    <t>KhulnaSouth_132kVtoSatkhira_132kV_Line2</t>
  </si>
  <si>
    <t>Rajshahi_132kVtoNatore_132kV_Line2</t>
  </si>
  <si>
    <t>Rampura_132kVtoGulshan_132kV_Line1</t>
  </si>
  <si>
    <t>Gulshan_132kV</t>
  </si>
  <si>
    <t>Rampura_132kVtoGulshan_132kV_Line2</t>
  </si>
  <si>
    <t>Sikalbaha_132kVtoBakulia_132kV_Line1</t>
  </si>
  <si>
    <t>Bakulia_132kV</t>
  </si>
  <si>
    <t>Sikalbaha_132kVtoBakulia_132kV_Line2</t>
  </si>
  <si>
    <t>Juldah_132kVtoShahmirpur_132kV_Line1</t>
  </si>
  <si>
    <t>Shahmirpur_132kV</t>
  </si>
  <si>
    <t>Juldah_132kVtoShahmirpur_132kV_Line2</t>
  </si>
  <si>
    <t>Khulshi_132kVtoBakulia_132kV_Line1</t>
  </si>
  <si>
    <t>Khulshi_132kVtoMSML_132kV_Line1</t>
  </si>
  <si>
    <t>MSML_132kV</t>
  </si>
  <si>
    <t>MSML_132kVtoBakulia_132kV_Line1</t>
  </si>
  <si>
    <t>Haripur_132kVtoManiknagar_132kV_Line1</t>
  </si>
  <si>
    <t>Joydebpur_132kVtoKodda_132kV_Line1</t>
  </si>
  <si>
    <t>Kodda_132kV</t>
  </si>
  <si>
    <t>Joydebpur_132kVtoKodda_132kV_Line2</t>
  </si>
  <si>
    <t>Kodda_132kVtoKabirpur_132kV_Line1</t>
  </si>
  <si>
    <t>Kodda_132kVtoKabirpur_132kV_Line2</t>
  </si>
  <si>
    <t>Sikalbaha_132kVtoShahmirpur_132kV_Line1</t>
  </si>
  <si>
    <t>Sikalbaha_132kVtoShahmirpur_132kV_Line2</t>
  </si>
  <si>
    <t>Khulshi_132kVtoHalishahar_132kV_Line1</t>
  </si>
  <si>
    <t>Khulshi_132kVtoHalishahar_132kV_Line2</t>
  </si>
  <si>
    <t>Khulshi_132kVtoRampur_132kV_Line1</t>
  </si>
  <si>
    <t>Rampur_132kV</t>
  </si>
  <si>
    <t>Khulshi_132kVtoRampur_132kV_Line2</t>
  </si>
  <si>
    <t>Rampur_132kVtoHalishahar_132kV_Line1</t>
  </si>
  <si>
    <t>Rampur_132kVtoHalishahar_132kV_Line2</t>
  </si>
  <si>
    <t>BoguraSouth_132kVtoBogura_132kV_Line1</t>
  </si>
  <si>
    <t>BoguraSouth_132kV</t>
  </si>
  <si>
    <t>BoguraSouth_132kVtoBogura_132kV_Line2</t>
  </si>
  <si>
    <t>Ashuganj_132kVtoShahjibazar_132kV_Line1</t>
  </si>
  <si>
    <t>KhulnaSouth_132kVtoGallamari_132kV_Line1</t>
  </si>
  <si>
    <t>Gallamari_132kV</t>
  </si>
  <si>
    <t>KhulnaSouth_132kVtoGallamari_132kV_Line2</t>
  </si>
  <si>
    <t>Naogaon_132kVtoNiamatpur_132kV_Line1</t>
  </si>
  <si>
    <t>Niamatpur_132kV</t>
  </si>
  <si>
    <t>Aminbazar_132kVtoSavar_132kV_Line1</t>
  </si>
  <si>
    <t>Savar_132kV</t>
  </si>
  <si>
    <t>Aminbazar_132kVtoSavar_132kV_Line2</t>
  </si>
  <si>
    <t>Jhenaidah_132kVtoMagura_132kV_Line1</t>
  </si>
  <si>
    <t>Magura_132kV</t>
  </si>
  <si>
    <t>Jhenaidah_132kVtoMagura_132kV_Line2</t>
  </si>
  <si>
    <t>Jhenaidah_132kVtoJhenaidahSouth_132kV_Line1</t>
  </si>
  <si>
    <t>JhenaidahSouth_132kVtoChuadanga_132kV_Line1</t>
  </si>
  <si>
    <t>Chuadanga_132kV</t>
  </si>
  <si>
    <t>Naogaon_132kVtoJoypurhat_132kV_Line1</t>
  </si>
  <si>
    <t>Joypurhat_132kV</t>
  </si>
  <si>
    <t>Naogaon_132kVtoJoypurhat_132kV_Line2</t>
  </si>
  <si>
    <t>Thakurgaon_132kVtoPanchagarh_132kV_Line1</t>
  </si>
  <si>
    <t>Panchagarh_132kV</t>
  </si>
  <si>
    <t>Thakurgaon_132kVtoPanchagarh_132kV_Line2</t>
  </si>
  <si>
    <t>Sonargaon_132kVtoMeghnaghatRentalPP_132kV_Line1</t>
  </si>
  <si>
    <t>MeghnaghatRentalPP_132kV</t>
  </si>
  <si>
    <t>Sonargaon_132kVtoMeghnaghatRentalPP_132kV_Line2</t>
  </si>
  <si>
    <t>Siddhirganj_132kVtoSiddhirganjDutchBanglaPP_132kV_Line1</t>
  </si>
  <si>
    <t>SiddhirganjDutchBanglaPP_132kV</t>
  </si>
  <si>
    <t>Noapara_132kVtoNoaparaPP_132kV_Line1</t>
  </si>
  <si>
    <t>NoaparaPP_132kV</t>
  </si>
  <si>
    <t>Daudkandi_132kVtoDaudkandiPP_132kV_Line1</t>
  </si>
  <si>
    <t>DaudkandiPP_132kV</t>
  </si>
  <si>
    <t>Gopalganj_132kVtoGopalganjPP_132kV_Line1</t>
  </si>
  <si>
    <t>GopalganjPP_132kV</t>
  </si>
  <si>
    <t>Siddhirganj_132kVtoSiddhirganjDeshEnergyPP_132kV_Line1</t>
  </si>
  <si>
    <t>SiddhirganjDeshEnergyPP_132kV</t>
  </si>
  <si>
    <t>Faridpur_132kVtoFaridpurPP_132kV_Line1</t>
  </si>
  <si>
    <t>FaridpurPP_132kV</t>
  </si>
  <si>
    <t>Baghabari_132kVtoSathia_132kV_Line1</t>
  </si>
  <si>
    <t>Sathia_132kV</t>
  </si>
  <si>
    <t>Sathia_132kVtoBeraPP_132kV_Line1</t>
  </si>
  <si>
    <t>BeraPP_132kV</t>
  </si>
  <si>
    <t>BeraPP_132kVtoIshwardi_132kV_Line1</t>
  </si>
  <si>
    <t>RajshahiNorth_132kVtoChapaiNawabganj_132kV_Line1</t>
  </si>
  <si>
    <t>ChapaiNawabganj_132kV</t>
  </si>
  <si>
    <t>RajshahiNorth_132kVtoAmnura_132kV_Line1</t>
  </si>
  <si>
    <t>Amnura_132kV</t>
  </si>
  <si>
    <t>Amnura_132kVtoChapaiNawabganj_132kV_Line1</t>
  </si>
  <si>
    <t>Madanganj_132kVtoMunshiganj_132kV_Line1</t>
  </si>
  <si>
    <t>Munshiganj_132kV</t>
  </si>
  <si>
    <t>Madanganj_132kVtoMunshiganj_132kV_Line2</t>
  </si>
  <si>
    <t>Agargaon_132kVtoCantonment_132kV_Line1</t>
  </si>
  <si>
    <t>Agargaon_132kV</t>
  </si>
  <si>
    <t>Cantonment_132kV</t>
  </si>
  <si>
    <t>Agargaon_132kVtoCantonment_132kV_Line2</t>
  </si>
  <si>
    <t>Fenchuganj_132kVtoKulaura_132kV_Line1</t>
  </si>
  <si>
    <t>Kulaura_132kV</t>
  </si>
  <si>
    <t>Fenchuganj_132kVtoKulaura_132kV_Line2</t>
  </si>
  <si>
    <t>Jamalpur_132kVtoUnitedPP_132kV_Line1</t>
  </si>
  <si>
    <t>UnitedPP_132kV</t>
  </si>
  <si>
    <t>Jamalpur_132kVtoUnitedPP_132kV_Line2</t>
  </si>
  <si>
    <t>UnitedPP_132kVtoSherpur_132kV_Line1</t>
  </si>
  <si>
    <t>Sherpur_132kV</t>
  </si>
  <si>
    <t>UnitedPP_132kVtoSherpur_132kV_Line2</t>
  </si>
  <si>
    <t>Agargaon_132kVtoSatmasjid_132kV_Line1</t>
  </si>
  <si>
    <t>Satmasjid_132kV</t>
  </si>
  <si>
    <t>Agargaon_132kVtoSatmasjid_132kV_Line2</t>
  </si>
  <si>
    <t>Rampura_132kVtoMadartek_132kV_Line1</t>
  </si>
  <si>
    <t>Madartek_132kV</t>
  </si>
  <si>
    <t>Rampura_132kVtoMadartek_132kV_Line2</t>
  </si>
  <si>
    <t>CumillaNorth_132kVtoCumillaSouth_132kV_Line1</t>
  </si>
  <si>
    <t>CumillaNorth_132kVtoCumillaSouth_132kV_Line2</t>
  </si>
  <si>
    <t>CumillaNorth_132kVtoCumillaSouth_132kV_Line3</t>
  </si>
  <si>
    <t>Goalpara_132kVtoBagerhat_132kV_Line1</t>
  </si>
  <si>
    <t>Goalpara_132kVtoLabancharaPP_132kV_Line1</t>
  </si>
  <si>
    <t>LabancharaPP_132kV</t>
  </si>
  <si>
    <t>LabancharaPP_132kVtotoBagerhat_132kV_Line1</t>
  </si>
  <si>
    <t>Kabirpur_132kVtoKaliakoir_132kV_Line1</t>
  </si>
  <si>
    <t>Kaliakoir_132kV</t>
  </si>
  <si>
    <t>Kabirpur_132kVtoKaliakoir_132kV_Line2</t>
  </si>
  <si>
    <t>Kaliakoir_132kVtoMirzapur_132kV_Line1</t>
  </si>
  <si>
    <t>Mirzapur_132kV</t>
  </si>
  <si>
    <t>Kaliakoir_132kVtoMirzapur_132kV_Line2</t>
  </si>
  <si>
    <t>Mirzapur_132kVtoTangail_132kV_Line1</t>
  </si>
  <si>
    <t>Mirzapur_132kVtoTangail_132kV_Line2</t>
  </si>
  <si>
    <t>Tangail_132kVtoGhatail_132kV_Line1</t>
  </si>
  <si>
    <t>Ghatail_132kV</t>
  </si>
  <si>
    <t>Tangail_132kVtoGhatail_132kV_Line2</t>
  </si>
  <si>
    <t>Ghatail_132kVtoMukhtagacha_132kV_Line1</t>
  </si>
  <si>
    <t>Mukhtagacha_132kV</t>
  </si>
  <si>
    <t>Ghatail_132kVtoMukhtagacha_132kV_Line2</t>
  </si>
  <si>
    <t>Mukhtagacha_132kVtoRPCLPP_132kV_Line1</t>
  </si>
  <si>
    <t>RPCLPP_132kV</t>
  </si>
  <si>
    <t>Mukhtagacha_132kVtoRPCLPP_132kV_Line2</t>
  </si>
  <si>
    <t>RPCLPP_132kVtoMymensingh_132kV_Line1</t>
  </si>
  <si>
    <t>RPCLPP_132kVtoMymensingh_132kV_Line2</t>
  </si>
  <si>
    <t>Kaliakoir_132kVtoDhamrai_132kV_Line1</t>
  </si>
  <si>
    <t>Dhamrai_132kV</t>
  </si>
  <si>
    <t>Kaliakoir_132kVoDhamrai_132kV_Line2</t>
  </si>
  <si>
    <t>Rangamati_132kVtoKhagrachari_132kV_Line1</t>
  </si>
  <si>
    <t>Rangamati_132kV</t>
  </si>
  <si>
    <t>Khagrachari_132kV</t>
  </si>
  <si>
    <t>Rangamati_132kVtoKhagrachari_132kV_Line2</t>
  </si>
  <si>
    <t>Chandraghona_132kVtoRangamati_132kV_Line1</t>
  </si>
  <si>
    <t>Chandraghona_132kVtoRangamati_132kV_Line2</t>
  </si>
  <si>
    <t>Chhatak_132kVtoSunamganj_132kV_Line1</t>
  </si>
  <si>
    <t>Sunamganj_132kV</t>
  </si>
  <si>
    <t>Chhatak_132kVtoSunamganj_132kV_Line2</t>
  </si>
  <si>
    <t>Beanibazar_132kVtoSylhetSouth_132kV_Line1</t>
  </si>
  <si>
    <t>Beanibazar_132kV</t>
  </si>
  <si>
    <t>Beanibazar_132kVtoSylhetSouth_132kV_Line2</t>
  </si>
  <si>
    <t>Mirpur_132kVtoUttara3P_132kV_Line1</t>
  </si>
  <si>
    <t>Uttara3P_132kV</t>
  </si>
  <si>
    <t>Uttara 3P_132kVtoTongi_132kV_Line1</t>
  </si>
  <si>
    <t>Uttara 3P_132kV</t>
  </si>
  <si>
    <t>MatarbariTConnection_132kVtoMatarbari_132kV_Line1</t>
  </si>
  <si>
    <t>MatarbariTConnection_132kV</t>
  </si>
  <si>
    <t>Matarbari_132kV</t>
  </si>
  <si>
    <t>Feni_132kVtoBaroirhat_132kV_Line1</t>
  </si>
  <si>
    <t>Feni_132kVtoPHP_132kV_Line1</t>
  </si>
  <si>
    <t>PHP_132kV</t>
  </si>
  <si>
    <t>PHP_132kVtoBaroirhat_132kV_Line1</t>
  </si>
  <si>
    <t>Brahmanbaria_132kVtoNarsingdi_132kV_Line1</t>
  </si>
  <si>
    <t>Brahmanbaria_132kVtoNarsingdi_132kV_Line2</t>
  </si>
  <si>
    <t>Saidpur_132kVtoJaldhaka_132kV_Line1</t>
  </si>
  <si>
    <t>Jaldhaka_132kV</t>
  </si>
  <si>
    <t>Saidpur_132kVtoJaldhaka_132kV_Line2</t>
  </si>
  <si>
    <t>Rooppur_132kVtoIshwardi_132kV_Line1</t>
  </si>
  <si>
    <t>Rooppur_132kV</t>
  </si>
  <si>
    <t>Rooppur_132kVtoIshwardi_132kV_Line2</t>
  </si>
  <si>
    <t>Mymensingh_132kVtoBhaluka_132kV_Line1</t>
  </si>
  <si>
    <t>Bhaluka_132kV</t>
  </si>
  <si>
    <t>Mymensingh_132kVtoBhaluka_132kV_Line2</t>
  </si>
  <si>
    <t>MadhumatiPP_132kVtoGopalganj_132kV_Line1</t>
  </si>
  <si>
    <t>MadhumatiPP_132kV</t>
  </si>
  <si>
    <t>Jashore_132kVtoBenapole_132kV_Line1</t>
  </si>
  <si>
    <t>Benapole_132kV</t>
  </si>
  <si>
    <t>Jashore_132kVtoBenapole_132kV_Line2</t>
  </si>
  <si>
    <t>Madaripur_132kVtoShariatpur_132kV_Line1</t>
  </si>
  <si>
    <t>Shariatpur_132kV</t>
  </si>
  <si>
    <t>Madaripur_132kVtoShariatpur_132kV_Line2</t>
  </si>
  <si>
    <t>Rangpur_132kVtoKurigram_132kV_Line1</t>
  </si>
  <si>
    <t>Kurigram_132kV</t>
  </si>
  <si>
    <t>Magura_132kVtoNarail_132kV_Line1</t>
  </si>
  <si>
    <t>Narail_132kV</t>
  </si>
  <si>
    <t>Magura_132kVtoNarail_132kV_Line2</t>
  </si>
  <si>
    <t>BoguraSouth_132kVtoSherpur(B)_132kV_Line1</t>
  </si>
  <si>
    <t>Sherpur(B)_132kV</t>
  </si>
  <si>
    <t>BoguraSouth_132kVtoSherpur(B)_132kV_Line2</t>
  </si>
  <si>
    <t>Sherpur(B)_132kVtoSirajganj_132kV_Line1</t>
  </si>
  <si>
    <t>Sherpur(B)_132kVtoSirajganj_132kV_Line2</t>
  </si>
  <si>
    <t>Rampura_132kVtoAftabnagar_132kV_Line1</t>
  </si>
  <si>
    <t>Aftabnagar_132kV</t>
  </si>
  <si>
    <t>Rampura_132kVtoAftabnagar_132kV_Line2</t>
  </si>
  <si>
    <t>CumillaSouth_132kVtoChauddagram_132kV_Line1</t>
  </si>
  <si>
    <t>Chauddagram_132kV</t>
  </si>
  <si>
    <t>CumillaSouth_132kVtoChauddagram_132kV_Line2</t>
  </si>
  <si>
    <t>Chauddagram_132kVtoFeniNorth_132kV_Line1</t>
  </si>
  <si>
    <t>FeniNorth_132kV</t>
  </si>
  <si>
    <t>Chauddagram_132kVtoFeniNorth_132kV_Line2</t>
  </si>
  <si>
    <t>FeniNorth_132kVtoFeni_132kV_Line1</t>
  </si>
  <si>
    <t>FeniNorth_132kVtoFeni_132kV_Line2</t>
  </si>
  <si>
    <t>Kodda_132kVtoRajendrapur_132kV_Line1</t>
  </si>
  <si>
    <t>Rajendrapur_132kV</t>
  </si>
  <si>
    <t>Kodda_132kVtoRajendrapur_132kV_Line2</t>
  </si>
  <si>
    <t>Rampur_132kVtoAgrabad_132kV_Line1</t>
  </si>
  <si>
    <t>Agrabad_132kV</t>
  </si>
  <si>
    <t>Rampur_132kVtoAgrabad_132kV_Line2</t>
  </si>
  <si>
    <t>Keraniganj_132kVtoSrinagar_132kV_Line1</t>
  </si>
  <si>
    <t>Srinagar_132kV</t>
  </si>
  <si>
    <t>Keraniganj_132kVtoSrinagar_132kV_Line2</t>
  </si>
  <si>
    <t>Keraniganj_132kVtoNawabganj_132kV_Line1</t>
  </si>
  <si>
    <t>Nawabganj_132kV</t>
  </si>
  <si>
    <t>Keraniganj_132kVtoNawabganj_132kV_Line2</t>
  </si>
  <si>
    <t>Fatullah_132kVtoShyampur_132kV_Line2</t>
  </si>
  <si>
    <t>DhakaUniversity_132kVtoDhanmondi_132kV_Line1</t>
  </si>
  <si>
    <t>DhakaUniversity_132kV</t>
  </si>
  <si>
    <t>DhakaUniversity_132kVtoDhanmondi_132kV_Line2</t>
  </si>
  <si>
    <t>Bagerhat_132kVtoMongla_132kV_Line2</t>
  </si>
  <si>
    <t>Baghabari_132kVtoBhangura_132kV_Line1</t>
  </si>
  <si>
    <t>Bhangura_132kV</t>
  </si>
  <si>
    <t>Baghabari_132kVtoBhangura_132kV_Line2</t>
  </si>
  <si>
    <t>Bakerganj_132kVtoBarguna_132kV_Line1</t>
  </si>
  <si>
    <t>Barguna_132kV</t>
  </si>
  <si>
    <t>Gallamari_132kVtoGopalganj_132kV_Line1</t>
  </si>
  <si>
    <t>Gallamari_132kVtoGopalganj_132kV_Line2</t>
  </si>
  <si>
    <t>Maniknagar_132kVtoKazla_132kV_Line1</t>
  </si>
  <si>
    <t>Kazla_132kV</t>
  </si>
  <si>
    <t>Maniknagar_132kVtoKazla_132kV_Line2</t>
  </si>
  <si>
    <t>Purbachal_132kVtoBashundhara_132kV_Line1</t>
  </si>
  <si>
    <t>Purbachal_132kV</t>
  </si>
  <si>
    <t>Purbachal_132kVtoBashundhara_132kV_Line2</t>
  </si>
  <si>
    <t>Banani_132kVtoBashundhara_132kV_Line1</t>
  </si>
  <si>
    <t>Banani_132kV</t>
  </si>
  <si>
    <t>Banani_132kVtoBashundhara_132kV_Line2</t>
  </si>
  <si>
    <t>Rajbari_132kVtoBheramara_132kV_Line3</t>
  </si>
  <si>
    <t>Rajbari_132kVtoBheramara_132kV_Line4</t>
  </si>
  <si>
    <t>Tongi_132kVtoTongi-3(Mill Gate)_132kV_Line1</t>
  </si>
  <si>
    <t>Tongi-3(Mill Gate)_132kV</t>
  </si>
  <si>
    <t>Tongi_132kVtoTongi-3(Mill Gate)_132kV_Line2</t>
  </si>
  <si>
    <t>Jhenaidah_132kVtoJhenaidahSouth_132kV_Line2</t>
  </si>
  <si>
    <t>Jhenaidah_132kVtoJhenaidahSouth_132kV_Line3</t>
  </si>
  <si>
    <t>JhenaidahSouth_132kVtoJashore_132kV_Line1</t>
  </si>
  <si>
    <t>JhenaidahSouth_132kVtoJashore_132kV_Line2</t>
  </si>
  <si>
    <t>Maniknagar_132kVtoMotijheel_132kV_Line1</t>
  </si>
  <si>
    <t>Motijheel_132kV</t>
  </si>
  <si>
    <t>Maniknagar_132kVtoMotijheel_132kV_Line2</t>
  </si>
  <si>
    <t>Motijheel_132kVtoBangabhaban_132kV_Line1</t>
  </si>
  <si>
    <t>Bangabhaban_132kV</t>
  </si>
  <si>
    <t>Motijheel_132kVtoBangabhaban_132kV_Line2</t>
  </si>
  <si>
    <t>Madanganj_132kVtoCharSaidpur_132kV_Line1</t>
  </si>
  <si>
    <t>CharSaidpur_132kV</t>
  </si>
  <si>
    <t>Madanganj_132kVtoCharSaidpur_132kV_Line2</t>
  </si>
  <si>
    <t>Kamrangirchar_132kVtoZigatola_132kV_Line1</t>
  </si>
  <si>
    <t>Zigatola_132kV</t>
  </si>
  <si>
    <t>Kamrangirchar_132kVtoZigatola_132kV_Line2</t>
  </si>
  <si>
    <t>Energon_132kVtoMongla_132kV_Line1</t>
  </si>
  <si>
    <t>Energon_132kV</t>
  </si>
  <si>
    <t>Hasnabad_132kVtoPostagola_132kV_Line1</t>
  </si>
  <si>
    <t>Postagola_132kV</t>
  </si>
  <si>
    <t>Hasnabad_132kVtoPostagola_132kV_Line2</t>
  </si>
  <si>
    <t>Banani_132kVtoPurbachal_132kV_Line1</t>
  </si>
  <si>
    <t>Banani_132kVtoPurbachal_132kV_Line2</t>
  </si>
  <si>
    <t>ChapaiNawabganj_132kVtoRahanpur_132kV_Line1</t>
  </si>
  <si>
    <t>Rahanpur_132kV</t>
  </si>
  <si>
    <t>ChapaiNawabganj_132kVtoRahanpur_132kV_Line2</t>
  </si>
  <si>
    <t>Madunaghat_132kVtoKalurghat_132kV_Line1</t>
  </si>
  <si>
    <t>Kalurghat_132kV</t>
  </si>
  <si>
    <t>Madunaghat_132kVtoKalurghat_132kV_Line2</t>
  </si>
  <si>
    <t>Rampura_132kVtoDhakaUniversity_132kV_Line1</t>
  </si>
  <si>
    <t>Rampura_132kVtoDhakaUniversity_132kV_Line2</t>
  </si>
  <si>
    <t>Sripur_132kVtoBhaluka_132kV_Line1</t>
  </si>
  <si>
    <t>Sripur_132kV</t>
  </si>
  <si>
    <t>Sripur_132kVtoBhaluka_132kV_Line2</t>
  </si>
  <si>
    <t>Ullapara_132kVtoSirajganj_132kV_Line1</t>
  </si>
  <si>
    <t>Ullapara_132kVtoSirajganj_132kV_Line2</t>
  </si>
  <si>
    <t>Bhaluka_132kVtoBarmiPP_132kV_Line1</t>
  </si>
  <si>
    <t>BarmiPP_132kV</t>
  </si>
  <si>
    <t>Bhaluka_132kVtoBarmiPP_132kV_Line2</t>
  </si>
  <si>
    <t>Niamatpur_132kVtoRahanpur_132kV_Line1</t>
  </si>
  <si>
    <t>Niamatpur_132kVtoRahanpur_132kV_Line2</t>
  </si>
  <si>
    <t>Cox'sBazar_132kVtoUSDKWindFarm_132kV_Line1</t>
  </si>
  <si>
    <t>Cox's Bazar_132kV</t>
  </si>
  <si>
    <t>USDKWindFarm_132kV</t>
  </si>
  <si>
    <t>BarishalNorth_132kVtoBhandaria_132kV_Line1</t>
  </si>
  <si>
    <t>BarishalNorth_132kVtoBhandaria_132kV_Line2</t>
  </si>
  <si>
    <t>Sirajganj68MWSolar_132kVtoSirajganj_132kV_Line1</t>
  </si>
  <si>
    <t>Sirajganj68MWSolar_132kV</t>
  </si>
  <si>
    <t>Sirajganj68MWSolar_132kVtoSirajganj_132kV_Line2</t>
  </si>
  <si>
    <t>Rahanpur_132kVtoChowdala_132kV_Line1</t>
  </si>
  <si>
    <t>Chowdala_132kV</t>
  </si>
  <si>
    <t>Rahanpur_132kVtoChowdala_132kV_Line2</t>
  </si>
  <si>
    <t>Muradnagar_132kVtoKosba_132kV_Line1</t>
  </si>
  <si>
    <t>Kosba_132kV</t>
  </si>
  <si>
    <t>Muradnagar_132kVtoKosba_132kV_Line2</t>
  </si>
  <si>
    <t>Jhenaidah_132kVtoChuadanga_132kV_Line1</t>
  </si>
  <si>
    <t>Kurigram_132kVtoLalmonirhat_132kV_Line1</t>
  </si>
  <si>
    <t>CumillaNorth_132kVtoChandina_132kV_Line1</t>
  </si>
  <si>
    <t>Chandina_132kV</t>
  </si>
  <si>
    <t>CumillaNorth_132kVtoChandina_132kV_Line2</t>
  </si>
  <si>
    <t>Rajendrapur_132kVtoSripur_132kV_Line1</t>
  </si>
  <si>
    <t>Rajendrapur_132kVtoSripur_132kV_Line2</t>
  </si>
  <si>
    <t>Araihazar_132kVtoBhulta_132kV_Line1</t>
  </si>
  <si>
    <t>Araihazar_132kV</t>
  </si>
  <si>
    <t>Araihazar_132kVtoBhulta_132kV_Line2</t>
  </si>
  <si>
    <t>DynamicSunSolarPP_132kVtoIshwardi_132kV_Line1</t>
  </si>
  <si>
    <t>DynamicSunSolarPP_132kV</t>
  </si>
  <si>
    <t>DynamicSunSolarPP_132kVtoIshwardi_132kV_Line2</t>
  </si>
  <si>
    <t>Kachua_132kVtoLaksham_132kV_Line1</t>
  </si>
  <si>
    <t>Laksham_132kV</t>
  </si>
  <si>
    <t>Kachua_132kVtoLaksham_132kV_Line2</t>
  </si>
  <si>
    <t>Chowmuhani_132kVtoLakshmipur_132kV_Line1</t>
  </si>
  <si>
    <t>Lakshmipur_132kV</t>
  </si>
  <si>
    <t>Chowmuhani_132kVtoLakshmipur_132kV_Line2</t>
  </si>
  <si>
    <t>Sripur_132kVtoKodda_132kV_Line1</t>
  </si>
  <si>
    <t>Sripur_132kVtoKodda_132kV_Line2</t>
  </si>
  <si>
    <t>Kaliganj_132kVtoMaheshpur_132kV_Line1</t>
  </si>
  <si>
    <t>Maheshpur_132kV</t>
  </si>
  <si>
    <t>Kaliganj_132kVtoMaheshpur_132kV_Line2</t>
  </si>
  <si>
    <t>Sathia_132kVtoPabna64MWSolarPP_132kV_Line1</t>
  </si>
  <si>
    <t>Pabna64MWSolarPP_132kV</t>
  </si>
  <si>
    <t>Sathia_132kVtoPabna64MWSolarPP_132kV_Line2</t>
  </si>
  <si>
    <t>Twin Bundling Factor for Res.</t>
  </si>
  <si>
    <t>Quad Bundling Factor Res.</t>
  </si>
  <si>
    <t>Twin Bundling Factor for Ind.</t>
  </si>
  <si>
    <t>D</t>
  </si>
  <si>
    <t>cm</t>
  </si>
  <si>
    <t>Quad Bundling Factor Ind.</t>
  </si>
  <si>
    <t>GMR</t>
  </si>
  <si>
    <t>Twin Bundling Factor for Cap.</t>
  </si>
  <si>
    <t>eps</t>
  </si>
  <si>
    <t>Quad Bundling Factor Cap.</t>
  </si>
  <si>
    <t>C</t>
  </si>
  <si>
    <t>F/cm</t>
  </si>
  <si>
    <t>Operating Frequency Factor for AC Resistance</t>
  </si>
  <si>
    <t>F/km</t>
  </si>
  <si>
    <t>Operating Frequency Factor for Ind./Cap Reactance</t>
  </si>
  <si>
    <t>F/mi</t>
  </si>
  <si>
    <t>Conductor Name</t>
  </si>
  <si>
    <t>Res. AC 75 deg C Ohm/km</t>
  </si>
  <si>
    <t>Ind. React. Ohm/km</t>
  </si>
  <si>
    <t>Cap. React. MOhm/km</t>
  </si>
  <si>
    <t>Susceptance</t>
  </si>
  <si>
    <t>Ampacity 75 deg C</t>
  </si>
  <si>
    <t>XC</t>
  </si>
  <si>
    <t>TransPower "None" (306.6mm2)</t>
  </si>
  <si>
    <t>Twin 300 sq mm</t>
  </si>
  <si>
    <t>TransPower "Rail" (483.8mm2)</t>
  </si>
  <si>
    <t>Twin AAAC 37/4.176 mm</t>
  </si>
  <si>
    <t>TransPower "Corporant" (603.2mm2)</t>
  </si>
  <si>
    <t>ACSR 600 sq mm</t>
  </si>
  <si>
    <t>Transpower "Faclcon" (805.7mm2)</t>
  </si>
  <si>
    <t>Transpower "Hawk" (241.7mm2)</t>
  </si>
  <si>
    <t xml:space="preserve">Cu 240 sq mm </t>
  </si>
  <si>
    <t>Transformer Name</t>
  </si>
  <si>
    <t>Trafo Res (pu)</t>
  </si>
  <si>
    <t>Trafo Reac (pu)</t>
  </si>
  <si>
    <t>Nominal Capacity (MVA)</t>
  </si>
  <si>
    <t>Purbasadipur_230by132_T1</t>
  </si>
  <si>
    <t>Purbasadipur_230by132_T2</t>
  </si>
  <si>
    <t>typical</t>
  </si>
  <si>
    <t>Barapukuria_230by132_T1</t>
  </si>
  <si>
    <t>Barapukuria_230by132_T2</t>
  </si>
  <si>
    <t>Barapukuria_230by132_T3</t>
  </si>
  <si>
    <t>Rahanpur_400by132_T1</t>
  </si>
  <si>
    <t>Rahanpur_400by132_T2</t>
  </si>
  <si>
    <t>BoguraWest_400by230_T1</t>
  </si>
  <si>
    <t>BoguraWest_400by230_T2</t>
  </si>
  <si>
    <t>BoguraWest_400by230_T3</t>
  </si>
  <si>
    <t>BoguraSouth_230by132_T1</t>
  </si>
  <si>
    <t>BoguraSouth_230by132_T2</t>
  </si>
  <si>
    <t>BoguraSouth_230by132_T3</t>
  </si>
  <si>
    <t>BoguraSouth_230by132_T4</t>
  </si>
  <si>
    <t>RajshahiNorth_230by132_T1</t>
  </si>
  <si>
    <t>RajshahiNorth_230by132_T2</t>
  </si>
  <si>
    <t>RNPP_400by230_T1</t>
  </si>
  <si>
    <t>RNPP_400by230_T2</t>
  </si>
  <si>
    <t>Ishurdi_230by132_T1</t>
  </si>
  <si>
    <t>Ishurdi_230kV</t>
  </si>
  <si>
    <t>Ishurdi_132kV</t>
  </si>
  <si>
    <t>Ishurdi_230by132_T2</t>
  </si>
  <si>
    <t>Ishurdi_230by132_T3</t>
  </si>
  <si>
    <t>Bheramara_230by132_T1</t>
  </si>
  <si>
    <t>Bheramara_230by132_T2</t>
  </si>
  <si>
    <t>Baghabari_230by132_T1</t>
  </si>
  <si>
    <t>Baghabari_230by132_T2</t>
  </si>
  <si>
    <t>Faridpur_230by132_T1</t>
  </si>
  <si>
    <t>Faridpur_230by132_T2</t>
  </si>
  <si>
    <t>Jhenaidah_230by132_T1</t>
  </si>
  <si>
    <t>Jhenaidah_230kV</t>
  </si>
  <si>
    <t>Jhenaidah_230by132_T2</t>
  </si>
  <si>
    <t>KhulnaSouth_230by132_T1</t>
  </si>
  <si>
    <t>KhulnaSouth_230by132_T2</t>
  </si>
  <si>
    <t>KhulnaSouth_230by132_T3</t>
  </si>
  <si>
    <t>BarisalNorth_230by132_T1</t>
  </si>
  <si>
    <t>BarisalNorth_230kV</t>
  </si>
  <si>
    <t>BarisalNorth_132kV</t>
  </si>
  <si>
    <t>BarisalNorth_230by132_T2</t>
  </si>
  <si>
    <t>GopalganjNorth_400by230_T1</t>
  </si>
  <si>
    <t>GopalganjNorth_400by132_T1</t>
  </si>
  <si>
    <t>GopalganjNorth_400by132_T2</t>
  </si>
  <si>
    <t>GopalganjNorth_400by132_T3</t>
  </si>
  <si>
    <t>RampalPP_400by230_T1</t>
  </si>
  <si>
    <t>RampalPP_400kV</t>
  </si>
  <si>
    <t>RampalPP_230kV</t>
  </si>
  <si>
    <t>RampalPP_400by230_T2</t>
  </si>
  <si>
    <t>Payra_400by132_T1</t>
  </si>
  <si>
    <t>Payra_132kV</t>
  </si>
  <si>
    <t>Payra_400by132_T2</t>
  </si>
  <si>
    <t>Kaliakoir_400by230_T1</t>
  </si>
  <si>
    <t>Kaliakoir_400by230_T2</t>
  </si>
  <si>
    <t>Kaliakoir_400by132_T1</t>
  </si>
  <si>
    <t>Kaliakoir_400by132_T2</t>
  </si>
  <si>
    <t>Kaliakoir_400by132_T3</t>
  </si>
  <si>
    <t>Kaliakoir_400by132_T4</t>
  </si>
  <si>
    <t>Sripur_230by132_T1</t>
  </si>
  <si>
    <t>Sripur_230by132_T2</t>
  </si>
  <si>
    <t>Tongi_230by132_T1</t>
  </si>
  <si>
    <t>Tongi_230by132_T2</t>
  </si>
  <si>
    <t>Tongi_230by132_T3</t>
  </si>
  <si>
    <t>Ghorashal_230by132_T1</t>
  </si>
  <si>
    <t>Ghorashal_230by132_T2</t>
  </si>
  <si>
    <t>AshuganjNorth_400by230_T1</t>
  </si>
  <si>
    <t>AshuganjNorth_400by230_T2</t>
  </si>
  <si>
    <t>Ashuganj_230by132_T1</t>
  </si>
  <si>
    <t>Ashuganj_230by132_T2</t>
  </si>
  <si>
    <t>Bhulta_400by230_T1</t>
  </si>
  <si>
    <t>Bhulta_400by230_T2</t>
  </si>
  <si>
    <t>Bhulta_230by132_T1</t>
  </si>
  <si>
    <t>Bhulta_230by132_T2</t>
  </si>
  <si>
    <t>Aminbazar_400by230_T1</t>
  </si>
  <si>
    <t>Aminbazar_400by230_T2</t>
  </si>
  <si>
    <t>Aminbazar_400by230_T3</t>
  </si>
  <si>
    <t>Aminbazar_230by132_T1</t>
  </si>
  <si>
    <t>Aminbazar_230by132_T2</t>
  </si>
  <si>
    <t>Aminbazar_230by132_T3</t>
  </si>
  <si>
    <t>Keraniganj_230by132_T1</t>
  </si>
  <si>
    <t>Keraniganj_230by132_T2</t>
  </si>
  <si>
    <t>Keraniganj_230by132_T3</t>
  </si>
  <si>
    <t>Agargaon_230by132_T1</t>
  </si>
  <si>
    <t>Agargaon_230by132_T2</t>
  </si>
  <si>
    <t>Rampura_230by132_T1</t>
  </si>
  <si>
    <t>Rampura_230by132_T2</t>
  </si>
  <si>
    <t>Rampura_230by132_T3</t>
  </si>
  <si>
    <t>Maniknagar_230by132_T1</t>
  </si>
  <si>
    <t>Maniknagar_230by132_T2</t>
  </si>
  <si>
    <t>Hasnabad_230by132_T1</t>
  </si>
  <si>
    <t>Hasnabad_230by132_T2</t>
  </si>
  <si>
    <t>Hasnabad_230by132_T3</t>
  </si>
  <si>
    <t>Shyampur_230by132_T1</t>
  </si>
  <si>
    <t>Shyampur_230by132_T2</t>
  </si>
  <si>
    <t>Siddhirganj_230by132_T1</t>
  </si>
  <si>
    <t>Siddhirganj_230by132_T2</t>
  </si>
  <si>
    <t>Haripur_230by132_T1</t>
  </si>
  <si>
    <t>Haripur_230by132_T2</t>
  </si>
  <si>
    <t>Haripur_230by132_T3</t>
  </si>
  <si>
    <t>Meghnaghat_400by230_T1</t>
  </si>
  <si>
    <t>Meghnaghat_400by230_T2</t>
  </si>
  <si>
    <t>Meghnaghat_400by230_T3</t>
  </si>
  <si>
    <t>Bibiyana_400by230_T1</t>
  </si>
  <si>
    <t>Bibiyana_400by230_T2</t>
  </si>
  <si>
    <t>Fenchuganj_230by132_T1</t>
  </si>
  <si>
    <t>Fenchuganj_230by132_T2</t>
  </si>
  <si>
    <t>CumillaNorth_230by132_T1</t>
  </si>
  <si>
    <t>CumillaNorth_230by132_T2</t>
  </si>
  <si>
    <t>CumillaNorth_230by132_T3</t>
  </si>
  <si>
    <t>Feni_230by132_T1</t>
  </si>
  <si>
    <t>Feni_230kV</t>
  </si>
  <si>
    <t>Feni_230by132_T2</t>
  </si>
  <si>
    <t>Kachua_230by132_T1</t>
  </si>
  <si>
    <t>Kachua_230by132_T2</t>
  </si>
  <si>
    <t>Hathazari_230by132_T2</t>
  </si>
  <si>
    <t>Hathazari_230by132_T3</t>
  </si>
  <si>
    <t>Hathazari_230by132_T4</t>
  </si>
  <si>
    <t>Korerhat_400by230_T1</t>
  </si>
  <si>
    <t>Korerhat_400by230_T2</t>
  </si>
  <si>
    <t>Chowmuhani_230by132_T1</t>
  </si>
  <si>
    <t>Chowmuhani_230by132_T2</t>
  </si>
  <si>
    <t>MadunaghatNew_400by230_T1</t>
  </si>
  <si>
    <t>MadunaghatNew_400by230_T2</t>
  </si>
  <si>
    <t>MadunaghatNew_400by230_T3</t>
  </si>
  <si>
    <t>Madunaghat_230by132_T1</t>
  </si>
  <si>
    <t>Madunaghat_230by132_T2</t>
  </si>
  <si>
    <t>Madunaghat_230by132_T3</t>
  </si>
  <si>
    <t>Sikalbaha_230by132_T1</t>
  </si>
  <si>
    <t>Sikalbaha_230by132_T2</t>
  </si>
  <si>
    <t>Rampur_230by132_T1</t>
  </si>
  <si>
    <t>Rampur_230kV</t>
  </si>
  <si>
    <t>Rampur_230by132_T2</t>
  </si>
  <si>
    <t>Load Name</t>
  </si>
  <si>
    <t>Bus</t>
  </si>
  <si>
    <t>Load Trafo MVA</t>
  </si>
  <si>
    <t>Active Power (MW)</t>
  </si>
  <si>
    <t>Reactive Power (MVar)</t>
  </si>
  <si>
    <t>bus</t>
  </si>
  <si>
    <t>p_set</t>
  </si>
  <si>
    <t>q_set</t>
  </si>
  <si>
    <t>AKSPL_230kV_Load1</t>
  </si>
  <si>
    <t>AKSPL_230kV_Load2</t>
  </si>
  <si>
    <t>AKSPL_230kV_Load3</t>
  </si>
  <si>
    <t>BSRM_230kV_Load1</t>
  </si>
  <si>
    <t>BSRM_230kV_Load2</t>
  </si>
  <si>
    <t>Borhanuddin_230kV_Load1</t>
  </si>
  <si>
    <t>Borhanuddin_230kV_Load2</t>
  </si>
  <si>
    <t>GPH_230kV_Load1</t>
  </si>
  <si>
    <t>GPH_230kV_Load2</t>
  </si>
  <si>
    <t>GhorashalSouthWest_230kV_Load1</t>
  </si>
  <si>
    <t>Aftabnagar_132kV_Load1</t>
  </si>
  <si>
    <t>Aftabnagar_132kV_Load2</t>
  </si>
  <si>
    <t>Agargaon_132kV_Load1</t>
  </si>
  <si>
    <t>Agargaon_132kV_Load2</t>
  </si>
  <si>
    <t>Agrabad_132kV_Load1</t>
  </si>
  <si>
    <t>Agrabad_132kV_Load2</t>
  </si>
  <si>
    <t>AKSML_132kV_Load1</t>
  </si>
  <si>
    <t>Amnura_132kV_Load1</t>
  </si>
  <si>
    <t>Amnura_132kV_Load2</t>
  </si>
  <si>
    <t>Amnura_132kV_Load3</t>
  </si>
  <si>
    <t>Ashuganj_132kV_Load1</t>
  </si>
  <si>
    <t>Ashuganj_132kV_Load2</t>
  </si>
  <si>
    <t>Bagerhat_132kV_Load1</t>
  </si>
  <si>
    <t>Bagerhat_132kV_Load2</t>
  </si>
  <si>
    <t>Bagerhat_132kV_Load3</t>
  </si>
  <si>
    <t>Bajitpur_132kV_Load1</t>
  </si>
  <si>
    <t>Bajitpur_132kV_Load2</t>
  </si>
  <si>
    <t>Bakerganj_132kV_Load1</t>
  </si>
  <si>
    <t>Bakulia_132kV_Load1</t>
  </si>
  <si>
    <t>Bakulia_132kV_Load2</t>
  </si>
  <si>
    <t>Bakulia_132kV_Load3</t>
  </si>
  <si>
    <t>Bakulia_132kV_Load4</t>
  </si>
  <si>
    <t>Banani_132kV_Load1</t>
  </si>
  <si>
    <t>Banani_132kV_Load2</t>
  </si>
  <si>
    <t>Bangabhaban_132kV_Load1</t>
  </si>
  <si>
    <t>Bangabhaban_132kV_Load2</t>
  </si>
  <si>
    <t>Barapukuria_132kV_Load1</t>
  </si>
  <si>
    <t>Barapukuria_132kV_Load2</t>
  </si>
  <si>
    <t>Barapukuria_132kV_Load3</t>
  </si>
  <si>
    <t>Barguna_132kV_Load1</t>
  </si>
  <si>
    <t>Barguna_132kV_Load2</t>
  </si>
  <si>
    <t>Barishal_132kV_Load1</t>
  </si>
  <si>
    <t>Barishal_132kV_Load2</t>
  </si>
  <si>
    <t>BarishalNorth_132kV_Load1</t>
  </si>
  <si>
    <t>BarishalNorth_132kV_Load2</t>
  </si>
  <si>
    <t>Baroaulia_132kV_Load1</t>
  </si>
  <si>
    <t>Baroaulia_132kV_Load2</t>
  </si>
  <si>
    <t>BaroauliaSSML_132kV_Load3</t>
  </si>
  <si>
    <t>Baroirhat_132kV_Load1</t>
  </si>
  <si>
    <t>Baroirhat_132kV_Load2</t>
  </si>
  <si>
    <t>Bashundhara_132kV_Load1</t>
  </si>
  <si>
    <t>Bashundhara_132kV_Load2</t>
  </si>
  <si>
    <t>Bashundhara_132kV_Load3</t>
  </si>
  <si>
    <t>BashundharaCement_132kV_Load1</t>
  </si>
  <si>
    <t>Beanibazar_132kV_Load1</t>
  </si>
  <si>
    <t>Beanibazar_132kV_Load2</t>
  </si>
  <si>
    <t>Benapole_132kV_Load1</t>
  </si>
  <si>
    <t>Benapole_132kV_Load2</t>
  </si>
  <si>
    <t>Bhaluka_132kV_Load1</t>
  </si>
  <si>
    <t>Bhaluka_132kV_Load2</t>
  </si>
  <si>
    <t>Bhandaria_132kV_Load1</t>
  </si>
  <si>
    <t>Bhandaria_132kV_Load2</t>
  </si>
  <si>
    <t>Bhangura_132kV_Load1</t>
  </si>
  <si>
    <t>Bhangura_132kV_Load2</t>
  </si>
  <si>
    <t>BheramaraGK_132kV_Load1</t>
  </si>
  <si>
    <t>BheramaraGK_132kV_Load2</t>
  </si>
  <si>
    <t>BheramaraGK_132kV_Load3</t>
  </si>
  <si>
    <t>BheramaraGK_132kV_Load4</t>
  </si>
  <si>
    <t>Bhulta_132kV_Load1</t>
  </si>
  <si>
    <t>Bhulta_132kV_Load2</t>
  </si>
  <si>
    <t>Sherpur(B)_132kV_Load1</t>
  </si>
  <si>
    <t>Sherpur(B)_132kV_Load2</t>
  </si>
  <si>
    <t>Sherpur(B)_132kV_Load3</t>
  </si>
  <si>
    <t>Bogura_132kV_Load1</t>
  </si>
  <si>
    <t>Bogura_132kV_Load2</t>
  </si>
  <si>
    <t>Bogura_132kV_Load3</t>
  </si>
  <si>
    <t>Bogura_132kV_Load4</t>
  </si>
  <si>
    <t>Brahmanbaria_132kV_Load1</t>
  </si>
  <si>
    <t>Brahmanbaria_132kV_Load2</t>
  </si>
  <si>
    <t>Brahmanbaria_132kV_Load3</t>
  </si>
  <si>
    <t>Cantonment_132kV_Load1</t>
  </si>
  <si>
    <t>Cantonment_132kV_Load2</t>
  </si>
  <si>
    <t>Chandina_132kV_Load1</t>
  </si>
  <si>
    <t>Chandina_132kV_Load2</t>
  </si>
  <si>
    <t>Chandpur_132kV_Load1</t>
  </si>
  <si>
    <t>Chandpur_132kV_Load2</t>
  </si>
  <si>
    <t>Chandpur_132kV_Load3</t>
  </si>
  <si>
    <t>Chandraghona_132kV_Load1</t>
  </si>
  <si>
    <t>Chandraghona_132kV_Load2</t>
  </si>
  <si>
    <t>Chapainawabganj_132kV_Load1</t>
  </si>
  <si>
    <t>Chapainawabganj_132kV_Load2</t>
  </si>
  <si>
    <t>Chapainawabganj_132kV_Load3</t>
  </si>
  <si>
    <t>Chapainawabganj_132kV_Load4</t>
  </si>
  <si>
    <t>CharSaidpur_132kV_Load1</t>
  </si>
  <si>
    <t>CharSaidpur_132kV_Load2</t>
  </si>
  <si>
    <t>CharSaidpurShahCement_132kV_Load3</t>
  </si>
  <si>
    <t>Chauddagram_132kV_Load1</t>
  </si>
  <si>
    <t>Chauddagram_132kV_Load2</t>
  </si>
  <si>
    <t>Chhatak_132kV_Load1</t>
  </si>
  <si>
    <t>Chhatak_132kV_Load2</t>
  </si>
  <si>
    <t>Chhatak_132kV_Load3</t>
  </si>
  <si>
    <t>Chowmuhani_132kV_Load1</t>
  </si>
  <si>
    <t>Chowmuhani_132kV_Load2</t>
  </si>
  <si>
    <t>Chowmuhani_132kV_Load3</t>
  </si>
  <si>
    <t>Chowdala_132kV_Load1</t>
  </si>
  <si>
    <t>Chowdala_132kV_Load2</t>
  </si>
  <si>
    <t>Chuadanga_132kV_Load1</t>
  </si>
  <si>
    <t>Chuadanga_132kV_Load2</t>
  </si>
  <si>
    <t>Chuadanga_132kV_Load3</t>
  </si>
  <si>
    <t>Coxsbazar_132kV_Load1</t>
  </si>
  <si>
    <t>Coxsbazar_132kV_Load2</t>
  </si>
  <si>
    <t>Coxsbazar_132kV_Load3</t>
  </si>
  <si>
    <t>CumillaNorth_132kV_Load1</t>
  </si>
  <si>
    <t>CumillaNorth_132kV_Load2</t>
  </si>
  <si>
    <t>CumillaNorth_132kV_Load3</t>
  </si>
  <si>
    <t>CumillaSouth_132kV_Load1</t>
  </si>
  <si>
    <t>CumillaSouth_132kV_Load2</t>
  </si>
  <si>
    <t>CumillaSouth_132kV_Load3</t>
  </si>
  <si>
    <t>CumillaSouth_132kV_Load4</t>
  </si>
  <si>
    <t>Daganbhuiyan_132kV_Load1</t>
  </si>
  <si>
    <t>Daganbhuiyan_132kV_Load2</t>
  </si>
  <si>
    <t>Daudkandi_132kV_Load1</t>
  </si>
  <si>
    <t>Daudkandi_132kV_Load2</t>
  </si>
  <si>
    <t>Daudkandi_132kV_Load3</t>
  </si>
  <si>
    <t>DhakaUniversity_132kV_Load1</t>
  </si>
  <si>
    <t>DhakaUniversity_132kV_Load2</t>
  </si>
  <si>
    <t>Dhamrai_132kV_Load1</t>
  </si>
  <si>
    <t>Dhamrai_132kV_Load2</t>
  </si>
  <si>
    <t>Dhanmondi_132kV_Load1</t>
  </si>
  <si>
    <t>Dhanmondi_132kV_Load2</t>
  </si>
  <si>
    <t>Dhanmondi_132kV_Load3</t>
  </si>
  <si>
    <t>Dhanmondi_132kV_Load4</t>
  </si>
  <si>
    <t>Dohazari_132kV_Load1</t>
  </si>
  <si>
    <t>Dohazari_132kV_Load2</t>
  </si>
  <si>
    <t>Faridpur_132kV_Load1</t>
  </si>
  <si>
    <t>Faridpur_132kV_Load2</t>
  </si>
  <si>
    <t>Faridpur_132kV_Load3</t>
  </si>
  <si>
    <t>Fatullah_132kV_Load1</t>
  </si>
  <si>
    <t>Fatullah_132kV_Load2</t>
  </si>
  <si>
    <t>Fenchuganj_132kV_Load1</t>
  </si>
  <si>
    <t>Fenchuganj_132kV_Load2</t>
  </si>
  <si>
    <t>Fenchuganj_132kV_Load3</t>
  </si>
  <si>
    <t>Feni_132kV_Load1</t>
  </si>
  <si>
    <t>Feni_132kV_Load2</t>
  </si>
  <si>
    <t>Ghatail_132kV_Load1</t>
  </si>
  <si>
    <t>Ghatail_132kV_Load2</t>
  </si>
  <si>
    <t>Ghorashal_132kV_Load1</t>
  </si>
  <si>
    <t>Ghorashal_132kV_Load2</t>
  </si>
  <si>
    <t>Ghorashal7Circle_132kV_Load3</t>
  </si>
  <si>
    <t>Goalpara_132kV_Load1</t>
  </si>
  <si>
    <t>Goalpara_132kV_Load2</t>
  </si>
  <si>
    <t>Gallamari_132kV_Load1</t>
  </si>
  <si>
    <t>Gallamari_132kV_Load2</t>
  </si>
  <si>
    <t>Gopalganj_132kV_Load1</t>
  </si>
  <si>
    <t>Gopalganj_132kV_Load2</t>
  </si>
  <si>
    <t>Gulshan_132kV_Load1</t>
  </si>
  <si>
    <t>Gulshan_132kV_Load2</t>
  </si>
  <si>
    <t>Halishahar_132kV_Load1</t>
  </si>
  <si>
    <t>Halishahar_132kV_Load2</t>
  </si>
  <si>
    <t>Halishahar_132kV_Load3</t>
  </si>
  <si>
    <t>Haripur_132kV_Load1</t>
  </si>
  <si>
    <t>Haripur_132kV_Load2</t>
  </si>
  <si>
    <t>Hasnabad_132kV_Load1</t>
  </si>
  <si>
    <t>Hasnabad_132kV_Load2</t>
  </si>
  <si>
    <t>Hasnabad_132kV_Load3</t>
  </si>
  <si>
    <t>Hathazari_132kV_Load1</t>
  </si>
  <si>
    <t>Hathazari_132kV_Load2</t>
  </si>
  <si>
    <t>Ishwardi_132kV_Load1</t>
  </si>
  <si>
    <t>Ishwardi_132kV_Load2</t>
  </si>
  <si>
    <t>Ishwardi_132kV_Load3</t>
  </si>
  <si>
    <t>Jaldhaka_132kV_Load1</t>
  </si>
  <si>
    <t>Jaldhaka_132kV_Load2</t>
  </si>
  <si>
    <t>Jamalpur_132kV_Load1</t>
  </si>
  <si>
    <t>Jamalpur_132kV_Load2</t>
  </si>
  <si>
    <t>Jamalpur_132kV_Load3</t>
  </si>
  <si>
    <t>Jamalpur_132kV_Load4</t>
  </si>
  <si>
    <t>Jashore_132kV_Load1</t>
  </si>
  <si>
    <t>Jashore_132kV_Load2</t>
  </si>
  <si>
    <t>Jashore_132kV_Load3</t>
  </si>
  <si>
    <t>Jhenaidah_132kV_Load1</t>
  </si>
  <si>
    <t>Jhenaidah_132kV_Load2</t>
  </si>
  <si>
    <t>Jhenaidah_132kV_Load3</t>
  </si>
  <si>
    <t>Joydebpur_132kV_Load1</t>
  </si>
  <si>
    <t>Joydebpur_132kV_Load2</t>
  </si>
  <si>
    <t>Joydebpur_132kV_Load3</t>
  </si>
  <si>
    <t>Joypurhat_132kV_Load1</t>
  </si>
  <si>
    <t>Joypurhat_132kV_Load2</t>
  </si>
  <si>
    <t>Joypurhat_132kV_Load3</t>
  </si>
  <si>
    <t>Joypurhat_132kV_Load4</t>
  </si>
  <si>
    <t>Juldah_132kV_Load1</t>
  </si>
  <si>
    <t>Juldah_132kV_Load2</t>
  </si>
  <si>
    <t>Kabirpur_132kV_Load1</t>
  </si>
  <si>
    <t>Kabirpur_132kV_Load2</t>
  </si>
  <si>
    <t>Kabirpur_132kV_Load3</t>
  </si>
  <si>
    <t>Kachua_132kV_Load1</t>
  </si>
  <si>
    <t>Kachua_132kV_Load2</t>
  </si>
  <si>
    <t>Kaliganj_132kV_Load1</t>
  </si>
  <si>
    <t>Kaliganj_132kV_Load2</t>
  </si>
  <si>
    <t>Kallyanpur_132kV_Load1</t>
  </si>
  <si>
    <t>Kallyanpur_132kV_Load2</t>
  </si>
  <si>
    <t>Kallyanpur_132kV_Load3</t>
  </si>
  <si>
    <t>Kalurghat_132kV_Load1</t>
  </si>
  <si>
    <t>Kalurghat_132kV_Load2</t>
  </si>
  <si>
    <t>Kamrangirchar_132kV_Load1</t>
  </si>
  <si>
    <t>Kamrangirchar_132kV_Load2</t>
  </si>
  <si>
    <t>Kamrangirchar_132kV_Load3</t>
  </si>
  <si>
    <t>Kaptai_132kV_Load1</t>
  </si>
  <si>
    <t>Kasba_132kV_Load1</t>
  </si>
  <si>
    <t>Kasba_132kV_Load2</t>
  </si>
  <si>
    <t>Kazla_132kV_Load1</t>
  </si>
  <si>
    <t>Kazla_132kV_Load2</t>
  </si>
  <si>
    <t>Keraniganj_132kV_Load1</t>
  </si>
  <si>
    <t>Keraniganj_132kV_Load2</t>
  </si>
  <si>
    <t>Khagrachari_132kV_Load1</t>
  </si>
  <si>
    <t>Khagrachari_132kV_Load2</t>
  </si>
  <si>
    <t>KhulnaCentral_132kV_Load1</t>
  </si>
  <si>
    <t>KhulnaCentral_132kV_Load2</t>
  </si>
  <si>
    <t>KhulnaCentral_132kV_Load3</t>
  </si>
  <si>
    <t>Khulshi_132kV_Load1</t>
  </si>
  <si>
    <t>Khulshi_132kV_Load2</t>
  </si>
  <si>
    <t>Khulshi_132kV_Load3</t>
  </si>
  <si>
    <t>Kishoreganj_132kV_Load1</t>
  </si>
  <si>
    <t>Kishoreganj_132kV_Load2</t>
  </si>
  <si>
    <t>Kishoreganj_132kV_Load3</t>
  </si>
  <si>
    <t>Kodda_132kV_Load1</t>
  </si>
  <si>
    <t>Kodda_132kV_Load2</t>
  </si>
  <si>
    <t>Kodda_132kV_Load3</t>
  </si>
  <si>
    <t>Kodda_132kV_Load4</t>
  </si>
  <si>
    <t>Kodda_132kV_Load5</t>
  </si>
  <si>
    <t>KSRM_132kV_Load1</t>
  </si>
  <si>
    <t>KSRM_132kV_Load2</t>
  </si>
  <si>
    <t>KSRMKYCR_132kV_Load3</t>
  </si>
  <si>
    <t>Kulaura_132kV_Load1</t>
  </si>
  <si>
    <t>Kulaura_132kV_Load2</t>
  </si>
  <si>
    <t>Kulaura_132kV_Load3</t>
  </si>
  <si>
    <t>Kurigram_132kV_Load1</t>
  </si>
  <si>
    <t>Kurigram_132kV_Load2</t>
  </si>
  <si>
    <t>Kushtia_132kV_Load1</t>
  </si>
  <si>
    <t>Kushtia_132kV_Load2</t>
  </si>
  <si>
    <t>Laksam_132kV_Load1</t>
  </si>
  <si>
    <t>Laksam_132kV_Load2</t>
  </si>
  <si>
    <t>Lakshmipur_132kV_Load1</t>
  </si>
  <si>
    <t>Lakshmipur_132kV_Load2</t>
  </si>
  <si>
    <t>Lalbag_132kV_Load1</t>
  </si>
  <si>
    <t>Lalbag_132kV_Load2</t>
  </si>
  <si>
    <t>Lalmonirhat_132kV_Load1</t>
  </si>
  <si>
    <t>Lalmonirhat_132kV_Load2</t>
  </si>
  <si>
    <t>Lalmonirhat_132kV_Load3</t>
  </si>
  <si>
    <t>Lalmonirhat_132kV_Load4</t>
  </si>
  <si>
    <t>Lalmonirhat_132kV_Load5</t>
  </si>
  <si>
    <t>Madanganj_132kV_Load1</t>
  </si>
  <si>
    <t>Madanganj_132kV_Load2</t>
  </si>
  <si>
    <t>Madaripur_132kV_Load1</t>
  </si>
  <si>
    <t>Madaripur_132kV_Load2</t>
  </si>
  <si>
    <t>Madaripur_132kV_Load3</t>
  </si>
  <si>
    <t>Madartek_132kV_Load1</t>
  </si>
  <si>
    <t>Madartek_132kV_Load2</t>
  </si>
  <si>
    <t>Madunaghat_132kV_Load1</t>
  </si>
  <si>
    <t>Madunaghat_132kV_Load2</t>
  </si>
  <si>
    <t>Magura_132kV_Load1</t>
  </si>
  <si>
    <t>Magura_132kV_Load2</t>
  </si>
  <si>
    <t>Magura_132kV_Load3</t>
  </si>
  <si>
    <t>Mahasthangarh_132kV_Load1</t>
  </si>
  <si>
    <t>Mahasthangarh_132kV_Load2</t>
  </si>
  <si>
    <t>Maijdee_132kV_Load1</t>
  </si>
  <si>
    <t>Maijdee_132kV_Load2</t>
  </si>
  <si>
    <t>Manikganj_132kV_Load1</t>
  </si>
  <si>
    <t>Manikganj_132kV_Load2</t>
  </si>
  <si>
    <t>Manikganj_132kV_Load3</t>
  </si>
  <si>
    <t>Maniknagar_132kV_Load1</t>
  </si>
  <si>
    <t>Maniknagar_132kV_Load2</t>
  </si>
  <si>
    <t>Matarbari_132kV_Load1</t>
  </si>
  <si>
    <t>Matarbari_132kV_Load2</t>
  </si>
  <si>
    <t>Matuail_132kV_Load1</t>
  </si>
  <si>
    <t>Matuail_132kV_Load2</t>
  </si>
  <si>
    <t>Metrorail_Motijheel_132kV_Load1</t>
  </si>
  <si>
    <t>Metrorail_Motijheel_132kV_Load2</t>
  </si>
  <si>
    <t>Metrorail_Uttara_132kV_Load1</t>
  </si>
  <si>
    <t>Metrorail_Uttara_132kV_Load2</t>
  </si>
  <si>
    <t>Mirpur_132kV_Load1</t>
  </si>
  <si>
    <t>Mirpur_132kV_Load2</t>
  </si>
  <si>
    <t>Mirpur_132kV_Load3</t>
  </si>
  <si>
    <t>Mirzapur_132kV_Load1</t>
  </si>
  <si>
    <t>Mirzapur_132kV_Load2</t>
  </si>
  <si>
    <t>Mithapukur_132kV_Load1</t>
  </si>
  <si>
    <t>Mithapukur_132kV_Load2</t>
  </si>
  <si>
    <t>MI_Cement_132kV_Load1</t>
  </si>
  <si>
    <t>MI_Cement_132kV_Load2</t>
  </si>
  <si>
    <t>MSML_132kV_Load1</t>
  </si>
  <si>
    <t>Mogbazar_132kV_Load1</t>
  </si>
  <si>
    <t>Mogbazar_132kV_Load2</t>
  </si>
  <si>
    <t>Mogbazar_132kV_Load3</t>
  </si>
  <si>
    <t>Mongla_132kV_Load1</t>
  </si>
  <si>
    <t>Mongla_132kV_Load2</t>
  </si>
  <si>
    <t>Motijheel_132kV_Load1</t>
  </si>
  <si>
    <t>Motijheel_132kV_Load2</t>
  </si>
  <si>
    <t>Muktagacha_132kV_Load1</t>
  </si>
  <si>
    <t>Muktagacha_132kV_Load2</t>
  </si>
  <si>
    <t>Munshiganj_132kV_Load1</t>
  </si>
  <si>
    <t>Munshiganj_132kV_Load2</t>
  </si>
  <si>
    <t>Muradnagar_132kV_Load1</t>
  </si>
  <si>
    <t>Muradnagar_132kV_Load2</t>
  </si>
  <si>
    <t>Mymensingh_132kV_Load1</t>
  </si>
  <si>
    <t>Mymensingh_132kV_Load2</t>
  </si>
  <si>
    <t>Mymensingh_132kV_Load3</t>
  </si>
  <si>
    <t>Nabinagar_132kV_Load1</t>
  </si>
  <si>
    <t>Nabinagar_132kV_Load2</t>
  </si>
  <si>
    <t>Naogaon_132kV_Load1</t>
  </si>
  <si>
    <t>Naogaon_132kV_Load2</t>
  </si>
  <si>
    <t>Naogaon_132kV_Load3</t>
  </si>
  <si>
    <t>Narail_132kV_Load1</t>
  </si>
  <si>
    <t>Narail_132kV_Load2</t>
  </si>
  <si>
    <t>Narinda_132kV_Load1</t>
  </si>
  <si>
    <t>Narinda_132kV_Load2</t>
  </si>
  <si>
    <t>Narshingdi_132kV_Load1</t>
  </si>
  <si>
    <t>Narshingdi_132kV_Load2</t>
  </si>
  <si>
    <t>Narshingdi_132kV_Load3</t>
  </si>
  <si>
    <t>Narshingdi_132kV_Load4</t>
  </si>
  <si>
    <t>Natore_132kV_Load1</t>
  </si>
  <si>
    <t>Natore_132kV_Load2</t>
  </si>
  <si>
    <t>Natore_132kV_Load3</t>
  </si>
  <si>
    <t>Natore_132kV_Load4</t>
  </si>
  <si>
    <t>Nawabganj_132kV_Load1</t>
  </si>
  <si>
    <t>Nawabganj_132kV_Load2</t>
  </si>
  <si>
    <t>Netrakona_132kV_Load1</t>
  </si>
  <si>
    <t>Netrakona_132kV_Load2</t>
  </si>
  <si>
    <t>Netrakona_132kV_Load3</t>
  </si>
  <si>
    <t>NewTongi_132kV_Load1</t>
  </si>
  <si>
    <t>NewTongi_132kV_Load2</t>
  </si>
  <si>
    <t>Niamatpur_132kV_Load1</t>
  </si>
  <si>
    <t>Niamatpur_132kV_Load2</t>
  </si>
  <si>
    <t>Niamatpur_132kV_Load3</t>
  </si>
  <si>
    <t>Noapara_132kV_Load1</t>
  </si>
  <si>
    <t>Noapara_132kV_Load2</t>
  </si>
  <si>
    <t>Noapara_132kV_Load3</t>
  </si>
  <si>
    <t>Pabna_132kV_Load1</t>
  </si>
  <si>
    <t>Pabna_132kV_Load2</t>
  </si>
  <si>
    <t>Pabna_132kV_Load3</t>
  </si>
  <si>
    <t>Pabna_132kV_Load4</t>
  </si>
  <si>
    <t>Palashbari_132kV_Load1</t>
  </si>
  <si>
    <t>Palashbari_132kV_Load2</t>
  </si>
  <si>
    <t>Palashbari_132kV_Load3</t>
  </si>
  <si>
    <t>Palashbari_132kV_Load4</t>
  </si>
  <si>
    <t>Panchagarh_132kV_Load1</t>
  </si>
  <si>
    <t>Panchagarh_132kV_Load2</t>
  </si>
  <si>
    <t>Panchagarh_132kV_Load3</t>
  </si>
  <si>
    <t>Panchagarh_132kV_Load4</t>
  </si>
  <si>
    <t>Patiya_132kV_Load1</t>
  </si>
  <si>
    <t>Patiya_132kV_Load2</t>
  </si>
  <si>
    <t>Patuakhali_132kV_Load1</t>
  </si>
  <si>
    <t>Patuakhali_132kV_Load2</t>
  </si>
  <si>
    <t>Patuakhali_132kV_Load3</t>
  </si>
  <si>
    <t>Payra_132kV_Load1</t>
  </si>
  <si>
    <t>Payra_132kV_Load2</t>
  </si>
  <si>
    <t>PHP_132kV_Load1</t>
  </si>
  <si>
    <t>Postogola_132kV_Load1</t>
  </si>
  <si>
    <t>Postogola_132kV_Load2</t>
  </si>
  <si>
    <t>Pubail_132kV_Load1</t>
  </si>
  <si>
    <t>Pubail_132kV_Load2</t>
  </si>
  <si>
    <t>Purbachal_132kV_Load1</t>
  </si>
  <si>
    <t>Purbachal_132kV_Load2</t>
  </si>
  <si>
    <t>Purbasadipur_132kV_Load1</t>
  </si>
  <si>
    <t>Purbasadipur_132kV_Load2</t>
  </si>
  <si>
    <t>Purbasadipur_132kV_Load3</t>
  </si>
  <si>
    <t>Purbasadipur_132kV_Load4</t>
  </si>
  <si>
    <t>RSRM_132kV_Load1</t>
  </si>
  <si>
    <t>Rajbari_132kV_Load1</t>
  </si>
  <si>
    <t>Rajbari_132kV_Load2</t>
  </si>
  <si>
    <t>Rajbari_132kV_Load3</t>
  </si>
  <si>
    <t>Rajendrapur_132kV_Load1</t>
  </si>
  <si>
    <t>Rajendrapur_132kV_Load2</t>
  </si>
  <si>
    <t>Rajendrapur_132kV_Load3</t>
  </si>
  <si>
    <t>Rajshahi_132kV_Load1</t>
  </si>
  <si>
    <t>Rajshahi_132kV_Load2</t>
  </si>
  <si>
    <t>Rajshahi_132kV_Load3</t>
  </si>
  <si>
    <t>RajshahiNorth_132kV_Load1</t>
  </si>
  <si>
    <t>RajshahiNorth_132kV_Load2</t>
  </si>
  <si>
    <t>Ramganj_132kV_Load1</t>
  </si>
  <si>
    <t>Ramganj_132kV_Load2</t>
  </si>
  <si>
    <t>Rampur_132kV_Load1</t>
  </si>
  <si>
    <t>Rampur_132kV_Load2</t>
  </si>
  <si>
    <t>Rangamati_132kV_Load1</t>
  </si>
  <si>
    <t>Rangamati_132kV_Load2</t>
  </si>
  <si>
    <t>Rangpur_132kV_Load1</t>
  </si>
  <si>
    <t>Rangpur_132kV_Load2</t>
  </si>
  <si>
    <t>Rangpur_132kV_Load3</t>
  </si>
  <si>
    <t>Rooppur_132kV_Load1</t>
  </si>
  <si>
    <t>Rooppur_132kV_Load2</t>
  </si>
  <si>
    <t>Saidpur_132kV_Load1</t>
  </si>
  <si>
    <t>Saidpur_132kV_Load2</t>
  </si>
  <si>
    <t>Saidpur_132kV_Load3</t>
  </si>
  <si>
    <t>Satkhira_132kV_Load1</t>
  </si>
  <si>
    <t>Satkhira_132kV_Load2</t>
  </si>
  <si>
    <t>Satkhira_132kV_Load3</t>
  </si>
  <si>
    <t>Satkhira_132kV_Load4</t>
  </si>
  <si>
    <t>Satmasjid_132kV_Load1</t>
  </si>
  <si>
    <t>Satmasjid_132kV_Load2</t>
  </si>
  <si>
    <t>Savar_132kV_Load1</t>
  </si>
  <si>
    <t>Savar_132kV_Load2</t>
  </si>
  <si>
    <t>Savar_132kV_Load3</t>
  </si>
  <si>
    <t>Savar_132kV_Load4</t>
  </si>
  <si>
    <t>Shahjadpur_132kV_Load1</t>
  </si>
  <si>
    <t>Shahjadpur_132kV_Load2</t>
  </si>
  <si>
    <t>Shahjadpur_132kV_Load3</t>
  </si>
  <si>
    <t>Shahjadpur_132kV_Load4</t>
  </si>
  <si>
    <t>Shahjibazar_132kV_Load1</t>
  </si>
  <si>
    <t>Shahjibazar_132kV_Load2</t>
  </si>
  <si>
    <t>Shahjibazar_132kV_Load3</t>
  </si>
  <si>
    <t>Shahmirpur_132kV_Load1</t>
  </si>
  <si>
    <t>Shahmirpur_132kV_Load2</t>
  </si>
  <si>
    <t>Shariatpur_132kV_Load1</t>
  </si>
  <si>
    <t>Shariatpur_132kV_Load2</t>
  </si>
  <si>
    <t>Sherpur_132kV_Load1</t>
  </si>
  <si>
    <t>Sherpur_132kV_Load2</t>
  </si>
  <si>
    <t>Sherpur_132kV_Load3</t>
  </si>
  <si>
    <t>Sikalbaha_132kV_Load1</t>
  </si>
  <si>
    <t>Sikalbaha_132kV_Load2</t>
  </si>
  <si>
    <t>Sitalakhya_132kV_Load1</t>
  </si>
  <si>
    <t>Sitalakhya_132kV_Load2</t>
  </si>
  <si>
    <t>Sitalakhya_132kV_Load3</t>
  </si>
  <si>
    <t>Sholoshahar_132kV_Load1</t>
  </si>
  <si>
    <t>Sholoshahar_132kV_Load2</t>
  </si>
  <si>
    <t>Shyampur_132kV_Load1</t>
  </si>
  <si>
    <t>Shyampur_132kV_Load2</t>
  </si>
  <si>
    <t>Shyampur_132kV_Load3</t>
  </si>
  <si>
    <t>Shyampur_132kV_Load4</t>
  </si>
  <si>
    <t>Siddhirganj_132kV_Load1</t>
  </si>
  <si>
    <t>Siddhirganj_132kV_Load2</t>
  </si>
  <si>
    <t>Siddhirganj_132kV_Load3</t>
  </si>
  <si>
    <t>Sirajganj_132kV_Load1</t>
  </si>
  <si>
    <t>Sirajganj_132kV_Load2</t>
  </si>
  <si>
    <t>Sirajganj_132kV_Load3</t>
  </si>
  <si>
    <t>Sirajganj_132kV_Load4</t>
  </si>
  <si>
    <t>Sonargaon_132kV_Load1</t>
  </si>
  <si>
    <t>Sonargaon_132kV_Load2</t>
  </si>
  <si>
    <t>SonargaonBMPIL_132kV_Load3</t>
  </si>
  <si>
    <t>SonargaonTASNIM_132kV_Load4</t>
  </si>
  <si>
    <t>Srimangal_132kV_Load1</t>
  </si>
  <si>
    <t>Srimangal_132kV_Load2</t>
  </si>
  <si>
    <t>Srimangal_132kV_Load3</t>
  </si>
  <si>
    <t>Srimangal_132kV_Load4</t>
  </si>
  <si>
    <t>Sripur_132kV_Load1</t>
  </si>
  <si>
    <t>Sripur_132kV_Load2</t>
  </si>
  <si>
    <t>Srinagar_132kV_Load1</t>
  </si>
  <si>
    <t>Srinagar_132kV_Load2</t>
  </si>
  <si>
    <t>Sunamganj_132kV_Load1</t>
  </si>
  <si>
    <t>Sunamganj_132kV_Load2</t>
  </si>
  <si>
    <t>Sylhet_132kV_Load1</t>
  </si>
  <si>
    <t>Sylhet_132kV_Load2</t>
  </si>
  <si>
    <t>Sylhet_132kV_Load3</t>
  </si>
  <si>
    <t>Sylhet_132kV_Load4</t>
  </si>
  <si>
    <t>SylhetSouth_132kV_Load1</t>
  </si>
  <si>
    <t>SylhetSouth_132kV_Load2</t>
  </si>
  <si>
    <t>Tangail_132kV_Load1</t>
  </si>
  <si>
    <t>Tangail_132kV_Load2</t>
  </si>
  <si>
    <t>Tangail_132kV_Load3</t>
  </si>
  <si>
    <t>Tangail_132kV_Load4</t>
  </si>
  <si>
    <t>Taraganj_132kV_Load1</t>
  </si>
  <si>
    <t>Taraganj_132kV_Load2</t>
  </si>
  <si>
    <t>Thakurgaon_132kV_Load1</t>
  </si>
  <si>
    <t>Thakurgaon_132kV_Load2</t>
  </si>
  <si>
    <t>TKCCL_132kV_Load1</t>
  </si>
  <si>
    <t>Tongi_132kV_Load1</t>
  </si>
  <si>
    <t>Tongi_132kV_Load2</t>
  </si>
  <si>
    <t>Tongi_132kV_Load3</t>
  </si>
  <si>
    <t>Tongi-3(Mill Gate)_132kV_Load1</t>
  </si>
  <si>
    <t>Tongi-3(Mill Gate)_132kV_Load2</t>
  </si>
  <si>
    <t>Ullahpara_132kV_Load1</t>
  </si>
  <si>
    <t>Ullahpara_132kV_Load2</t>
  </si>
  <si>
    <t>Ullon_132kV_Load1</t>
  </si>
  <si>
    <t>Ullon_132kV_Load2</t>
  </si>
  <si>
    <t>Ullon_132kV_Load3</t>
  </si>
  <si>
    <t>Uttara_132kV_Load1</t>
  </si>
  <si>
    <t>Uttara_132kV_Load2</t>
  </si>
  <si>
    <t>Uttara_132kV_Load3</t>
  </si>
  <si>
    <t>Uttara3P_132kV_Load1</t>
  </si>
  <si>
    <t>Uttara3P_132kV_Load2</t>
  </si>
  <si>
    <t>Zigatola_132kV_Load1</t>
  </si>
  <si>
    <t>Zigatola_132kV_Load2</t>
  </si>
  <si>
    <t>Area</t>
  </si>
  <si>
    <t>Name</t>
  </si>
  <si>
    <t>Technology</t>
  </si>
  <si>
    <t>Fuel</t>
  </si>
  <si>
    <t>Present Capacity (MW)</t>
  </si>
  <si>
    <t>marginal_cost</t>
  </si>
  <si>
    <t>Dhaka</t>
  </si>
  <si>
    <t>Ghorasal Repowered CCPP Unit-3</t>
  </si>
  <si>
    <t>CCGT</t>
  </si>
  <si>
    <t>Ghorasal Repowered CCPP Unit-4</t>
  </si>
  <si>
    <t>Ghorasal TPP Unit-5</t>
  </si>
  <si>
    <t>OCGT</t>
  </si>
  <si>
    <t>Ghorasal 365 MW CCPP Unit-7</t>
  </si>
  <si>
    <t>Ghorashal 108 MW PP (Regent)</t>
  </si>
  <si>
    <t>ICE</t>
  </si>
  <si>
    <t>Haripur GTPP</t>
  </si>
  <si>
    <t>Haripur 412 MW CCPP</t>
  </si>
  <si>
    <t>Meghnaghat 450 MW CCPP (MPL)</t>
  </si>
  <si>
    <t>Meghnaghat CCPP(Summit)</t>
  </si>
  <si>
    <t>Madanganj-55 MW PP(Summit)</t>
  </si>
  <si>
    <t>Siddhirgonj 210 MW TPP</t>
  </si>
  <si>
    <t>Siddhirgonj 2*120 MW GTPP</t>
  </si>
  <si>
    <t>Siddhirganj 335 MW CCPP</t>
  </si>
  <si>
    <t>Gagnagar 102 MW PP (Digital Power)</t>
  </si>
  <si>
    <t>Kamalaghat 54 MW PP(Banco Energy)</t>
  </si>
  <si>
    <t>Kodda 150 MW PP BRPL</t>
  </si>
  <si>
    <t>Manikganj 55 MW PP (Northern)</t>
  </si>
  <si>
    <t>Nababganj 55 MW PP (Southern power )</t>
  </si>
  <si>
    <t>Summit Power Ashulia</t>
  </si>
  <si>
    <t>Summit Power Madhabdi</t>
  </si>
  <si>
    <t>Gazipur 52 MW PP</t>
  </si>
  <si>
    <t>Tongi 80 MW GTPP</t>
  </si>
  <si>
    <t>Kodda 300 MW PP Unit-2 (Summit)</t>
  </si>
  <si>
    <t>Kodda 149 MW PP Unit-1 (Summit)</t>
  </si>
  <si>
    <t>Gazipur 100 MW PP</t>
  </si>
  <si>
    <t>Meghnaghat 104 MW PP (OPCL)</t>
  </si>
  <si>
    <t>Manikgonj 162MW PP(MPGL)</t>
  </si>
  <si>
    <t>Spectra Solar Plant Ltd.</t>
  </si>
  <si>
    <t>Kanchan Purbachal Power Generation Ltd.</t>
  </si>
  <si>
    <t>Unique Meghnaghat Power Limited (UMPL)</t>
  </si>
  <si>
    <t>Meghnaghat CCPP(Summit)-2</t>
  </si>
  <si>
    <t>JERA Meghnaghat Power Limited</t>
  </si>
  <si>
    <t>Sreepur 150 MW PP BRPL</t>
  </si>
  <si>
    <t>Chattogram</t>
  </si>
  <si>
    <t>Chattogram TPP</t>
  </si>
  <si>
    <t>Raozan 25 MW PP</t>
  </si>
  <si>
    <t>Teknaf  20MW PP (Solartech)</t>
  </si>
  <si>
    <t>Patenga 50MW PP (Baraka)</t>
  </si>
  <si>
    <t>Karnaphuli Hydro PP Unit-1,2,3,4, 5</t>
  </si>
  <si>
    <t>Sikalbaha 225MW CCPP</t>
  </si>
  <si>
    <t>Sikalbaha Peaking GT</t>
  </si>
  <si>
    <t>Sikalbaha 105 MW PP (Baraka Sikalbaha)</t>
  </si>
  <si>
    <t>Hathazari 100 MW peaking PP</t>
  </si>
  <si>
    <t>Dohazari -Kalaish 100 MW Peaking</t>
  </si>
  <si>
    <t>Juldah 100 MW PP Unit-3 (Acorn)</t>
  </si>
  <si>
    <t>Malancha, Ctg. EPZ (United)</t>
  </si>
  <si>
    <t>Chattogram 108 MW PP (ECPV)</t>
  </si>
  <si>
    <t>Kaptai 7 MW  Solar PP</t>
  </si>
  <si>
    <t>Anwara 300 MW PP (United)</t>
  </si>
  <si>
    <t>Jodiac Power</t>
  </si>
  <si>
    <t>Karnaphuli Power Ltd.</t>
  </si>
  <si>
    <t>Juldah unit-2 (Acorn)</t>
  </si>
  <si>
    <t>Anlima Energy Ltd.</t>
  </si>
  <si>
    <t>Mirsharai 150 MW BRPL</t>
  </si>
  <si>
    <t>SS Power</t>
  </si>
  <si>
    <t>Cox's Bazar Wind</t>
  </si>
  <si>
    <t>Matarbari 2*600 MW (CPGCBL)</t>
  </si>
  <si>
    <t>Cumilla</t>
  </si>
  <si>
    <t>Ashuganj CCPP 225 MW</t>
  </si>
  <si>
    <t>Ashuganj 450 MW CCPP(North)</t>
  </si>
  <si>
    <t>Ashuganj 450 MW CCPP(South)</t>
  </si>
  <si>
    <t>Ashuganj 420 MW CCPP(East)</t>
  </si>
  <si>
    <t>Ashuganj TSK 50 MW PP</t>
  </si>
  <si>
    <t>Ashuganj 55 MW PP (Precision)</t>
  </si>
  <si>
    <t>Ashuganj 195 MW PP (APSCL-United)</t>
  </si>
  <si>
    <t>Ashuganj 51 MW PP (Midland)</t>
  </si>
  <si>
    <t>Ashuganj 150MW PP (Midland)</t>
  </si>
  <si>
    <t>Titas 50 MW Peaking PP</t>
  </si>
  <si>
    <t>Chandpur 150 MW CCPP</t>
  </si>
  <si>
    <t>Chandpur 200MW (Desh energy)</t>
  </si>
  <si>
    <t>Jangalia 52 MW PP (Lakdanavi)</t>
  </si>
  <si>
    <t>Cumilla 25 MW PP (Summit)</t>
  </si>
  <si>
    <t>Feni Lanka Power</t>
  </si>
  <si>
    <t>Chowmuhani 113 MW</t>
  </si>
  <si>
    <t>Chandpur 115(Doreen)</t>
  </si>
  <si>
    <t>Sonagazi 75 MW (AC) Solar Power Plant</t>
  </si>
  <si>
    <t>Mymensingh</t>
  </si>
  <si>
    <t>RPCL 210MW CCPP</t>
  </si>
  <si>
    <t>Sarishabari 3 MW Solar Plant</t>
  </si>
  <si>
    <t>Mymensingh 200 MW PP (United)</t>
  </si>
  <si>
    <t>Jamalpur 115 MW PP (United)</t>
  </si>
  <si>
    <t>Sutiakhali 50 MW Solar PP</t>
  </si>
  <si>
    <t>Tangail Palli Power Gen 22 MW</t>
  </si>
  <si>
    <t>Bhairob 54.5 MW</t>
  </si>
  <si>
    <t>Sylhet</t>
  </si>
  <si>
    <t>Moulvibazar 10 MW Solar Power Plant</t>
  </si>
  <si>
    <t>Fenchugonj CCPP Phase-1</t>
  </si>
  <si>
    <t>Fenchugonj CCPP Phase-2</t>
  </si>
  <si>
    <t>Kushiara 163 MW CCPP (KP)</t>
  </si>
  <si>
    <t>Shajibazar 330 MW CCPP</t>
  </si>
  <si>
    <t>Shahjibazar GTPP Unit- 8 &amp; 9</t>
  </si>
  <si>
    <t>Shahjibazar 86MW PP (Shahjibazar)</t>
  </si>
  <si>
    <t>Shahjibazar 100 MW GTPP</t>
  </si>
  <si>
    <t>Sylhet 225 MW CCPP</t>
  </si>
  <si>
    <t>Sylhet  20 MW GTPP</t>
  </si>
  <si>
    <t>Shahjahanulla 25 MW PP</t>
  </si>
  <si>
    <t>Bibiana-II 341 MW CCPP (Summit)</t>
  </si>
  <si>
    <t>Bibiyana-III 400 MW CCPP</t>
  </si>
  <si>
    <t>Bibiyana South 400 MW</t>
  </si>
  <si>
    <t>Khulna</t>
  </si>
  <si>
    <t>Bheramara GTPP Unit-3</t>
  </si>
  <si>
    <t>Faridpur 50 MW Peaking PP</t>
  </si>
  <si>
    <t>Khulna 225 MW CCPP</t>
  </si>
  <si>
    <t>Gopalganj 100 MW Peaking PP</t>
  </si>
  <si>
    <t>Bheramara 410 MW CCPP</t>
  </si>
  <si>
    <t>Rupsha 105 MW PP (Orion rupsha)</t>
  </si>
  <si>
    <t>Madhumati 100 MW PP</t>
  </si>
  <si>
    <t>Mongla Orion 100 MW Solar PP</t>
  </si>
  <si>
    <t>Khulna 330 MW CCPP</t>
  </si>
  <si>
    <t>Rampal 1320 MW (BIFPCL)</t>
  </si>
  <si>
    <t>Barishal</t>
  </si>
  <si>
    <t>Patuakhali 1320 MW (RNPL)</t>
  </si>
  <si>
    <t>Barisal 110 MW PP (Summit )</t>
  </si>
  <si>
    <t>Bhola  33 MW PP (Venture)</t>
  </si>
  <si>
    <t>Bhola 225 MW  CCPP</t>
  </si>
  <si>
    <t>Payra 1320 MW</t>
  </si>
  <si>
    <t>Bhola Nutan Biddut BD LTD</t>
  </si>
  <si>
    <t>United Payra Power Ltd.</t>
  </si>
  <si>
    <t>Barisal 307 MW</t>
  </si>
  <si>
    <t>Barisal 1 MW Solar Plant</t>
  </si>
  <si>
    <t>Rajshahi</t>
  </si>
  <si>
    <t>Pabna 64 MW Solar Plant</t>
  </si>
  <si>
    <t>Baghabari 71 MW GTPP</t>
  </si>
  <si>
    <t>Baghabari  100 MW GTPP</t>
  </si>
  <si>
    <t>Baghabari  50 MW Peaking PP</t>
  </si>
  <si>
    <t>Bera 70 MW Peaking PP</t>
  </si>
  <si>
    <t>Katakhali 50 MW Peaking PP</t>
  </si>
  <si>
    <t>Sirajgonj 225MW CCPP Unit-1</t>
  </si>
  <si>
    <t>Sirajgonj 225MW CCPP Unit-2</t>
  </si>
  <si>
    <t>Sirajgonj 225MW CCPP Unit-3</t>
  </si>
  <si>
    <t>Sirajgonj 400 MW CCPP Unit-4</t>
  </si>
  <si>
    <t>Santahar  50 MW Peaking PP</t>
  </si>
  <si>
    <t>Natore 52 MW PP (Rajlanka)</t>
  </si>
  <si>
    <t>Chapainawabganj 100 MW Peaking PP</t>
  </si>
  <si>
    <t>Bagura 113 MW PP (Confidence)-2</t>
  </si>
  <si>
    <t>Bagura 113 MW PP (Confidence)-1</t>
  </si>
  <si>
    <t>Sirajgonj 6.55 MW Solar</t>
  </si>
  <si>
    <t>Sirajganj 68 MW Solar Park</t>
  </si>
  <si>
    <t>Pabna Solar 100 MW</t>
  </si>
  <si>
    <t>Sirajganj 2 MW Wind Power Plant</t>
  </si>
  <si>
    <t>Rangpur</t>
  </si>
  <si>
    <t>Saidpur 150 MW Simple Cycle Power Plant</t>
  </si>
  <si>
    <t>Barapukuria TPP Unit-1 &amp; 2</t>
  </si>
  <si>
    <t>Barapukuria 275 MW TPP Unit-3</t>
  </si>
  <si>
    <t>Rangpur 20 MW  GTPP</t>
  </si>
  <si>
    <t>Saidpur 20 MW GTPP</t>
  </si>
  <si>
    <t>Rangpur 113 MW PP (Confidence)</t>
  </si>
  <si>
    <t>Sympa Solar Power 8 MW</t>
  </si>
  <si>
    <t>Energypac Power Venture Thakurgaon Ltd.</t>
  </si>
  <si>
    <t>Intraco Solar 30 MW</t>
  </si>
  <si>
    <t>Teesta Solar Limited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</si>
</sst>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E+00"/>
    <numFmt numFmtId="165" formatCode="0.000"/>
    <numFmt numFmtId="166" formatCode="0.00000E+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color rgb="FFFF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1" xfId="0" applyAlignment="1" applyFont="1" applyNumberFormat="1">
      <alignment readingOrder="0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11" xfId="0" applyAlignment="1" applyFont="1" applyNumberFormat="1">
      <alignment readingOrder="0"/>
    </xf>
    <xf borderId="0" fillId="0" fontId="4" numFmtId="0" xfId="0" applyFont="1"/>
    <xf borderId="0" fillId="0" fontId="3" numFmtId="0" xfId="0" applyAlignment="1" applyFont="1">
      <alignment readingOrder="0" vertical="bottom"/>
    </xf>
    <xf borderId="0" fillId="0" fontId="1" numFmtId="0" xfId="0" applyFont="1"/>
    <xf borderId="0" fillId="0" fontId="1" numFmtId="164" xfId="0" applyFont="1" applyNumberFormat="1"/>
    <xf borderId="0" fillId="0" fontId="1" numFmtId="11" xfId="0" applyFont="1" applyNumberFormat="1"/>
    <xf borderId="0" fillId="0" fontId="1" numFmtId="165" xfId="0" applyFont="1" applyNumberFormat="1"/>
    <xf borderId="0" fillId="0" fontId="1" numFmtId="0" xfId="0" applyAlignment="1" applyFont="1">
      <alignment readingOrder="0" shrinkToFit="0" wrapText="1"/>
    </xf>
    <xf borderId="0" fillId="0" fontId="1" numFmtId="166" xfId="0" applyFont="1" applyNumberFormat="1"/>
    <xf borderId="0" fillId="3" fontId="1" numFmtId="0" xfId="0" applyFill="1" applyFont="1"/>
    <xf borderId="0" fillId="0" fontId="1" numFmtId="1" xfId="0" applyAlignment="1" applyFont="1" applyNumberForma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</cols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3" width="25.63"/>
    <col customWidth="1" min="4" max="4" width="22.38"/>
    <col customWidth="1" min="5" max="5" width="18.13"/>
    <col customWidth="1" min="6" max="6" width="20.75"/>
  </cols>
  <sheetData>
    <row r="1">
      <c r="A1" s="1" t="s">
        <v>0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 t="s">
        <v>3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>
        <v>500.0</v>
      </c>
      <c r="E4" s="1">
        <v>1.0</v>
      </c>
    </row>
    <row r="5">
      <c r="A5" s="1" t="s">
        <v>18</v>
      </c>
      <c r="B5" s="1" t="s">
        <v>19</v>
      </c>
      <c r="C5" s="1" t="s">
        <v>17</v>
      </c>
      <c r="D5" s="1">
        <v>500.0</v>
      </c>
      <c r="E5" s="1">
        <v>1.0</v>
      </c>
    </row>
    <row r="6">
      <c r="A6" s="1" t="s">
        <v>20</v>
      </c>
      <c r="B6" s="1" t="s">
        <v>21</v>
      </c>
      <c r="C6" s="1" t="s">
        <v>22</v>
      </c>
      <c r="D6" s="1">
        <v>1435.0</v>
      </c>
      <c r="E6" s="1">
        <v>1.0</v>
      </c>
    </row>
    <row r="7">
      <c r="A7" s="1" t="s">
        <v>23</v>
      </c>
      <c r="B7" s="1" t="s">
        <v>24</v>
      </c>
      <c r="C7" s="1" t="s">
        <v>25</v>
      </c>
      <c r="D7" s="1">
        <v>192.0</v>
      </c>
      <c r="E7" s="1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5"/>
    <col customWidth="1" min="2" max="2" width="25.5"/>
    <col customWidth="1" min="3" max="3" width="26.75"/>
    <col customWidth="1" min="5" max="5" width="14.38"/>
    <col customWidth="1" min="6" max="6" width="18.0"/>
    <col customWidth="1" min="7" max="7" width="24.88"/>
    <col customWidth="1" min="8" max="8" width="27.13"/>
    <col customWidth="1" min="9" max="9" width="22.75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</row>
    <row r="3">
      <c r="A3" s="1" t="s">
        <v>3</v>
      </c>
      <c r="B3" s="1" t="s">
        <v>11</v>
      </c>
      <c r="C3" s="1" t="s">
        <v>12</v>
      </c>
      <c r="F3" s="1" t="s">
        <v>35</v>
      </c>
      <c r="G3" s="1" t="s">
        <v>36</v>
      </c>
      <c r="H3" s="1" t="s">
        <v>37</v>
      </c>
      <c r="I3" s="1" t="s">
        <v>38</v>
      </c>
    </row>
    <row r="4">
      <c r="A4" s="1" t="s">
        <v>39</v>
      </c>
      <c r="B4" s="1" t="s">
        <v>16</v>
      </c>
      <c r="C4" s="1" t="s">
        <v>40</v>
      </c>
      <c r="D4" s="1">
        <v>27.35</v>
      </c>
      <c r="E4" s="1" t="s">
        <v>41</v>
      </c>
      <c r="F4" s="1">
        <v>0.031985</v>
      </c>
      <c r="G4" s="1">
        <v>0.129273</v>
      </c>
      <c r="H4" s="2">
        <v>1.4337E-5</v>
      </c>
      <c r="I4" s="1">
        <v>400.0</v>
      </c>
    </row>
    <row r="5">
      <c r="A5" s="1" t="s">
        <v>42</v>
      </c>
      <c r="B5" s="1" t="s">
        <v>16</v>
      </c>
      <c r="C5" s="1" t="s">
        <v>40</v>
      </c>
      <c r="D5" s="1">
        <v>27.35</v>
      </c>
      <c r="E5" s="1" t="s">
        <v>41</v>
      </c>
      <c r="F5" s="1">
        <v>0.031985</v>
      </c>
      <c r="G5" s="1">
        <v>0.129273</v>
      </c>
      <c r="H5" s="2">
        <v>1.4337E-5</v>
      </c>
      <c r="I5" s="1">
        <v>400.0</v>
      </c>
    </row>
    <row r="6">
      <c r="A6" s="1" t="s">
        <v>43</v>
      </c>
      <c r="B6" s="1" t="s">
        <v>44</v>
      </c>
      <c r="C6" s="1" t="s">
        <v>45</v>
      </c>
      <c r="D6" s="1">
        <v>55.0</v>
      </c>
      <c r="E6" s="1" t="s">
        <v>46</v>
      </c>
      <c r="F6" s="1">
        <v>0.02755</v>
      </c>
      <c r="G6" s="1">
        <v>0.081959</v>
      </c>
      <c r="H6" s="2">
        <v>2.6525E-5</v>
      </c>
      <c r="I6" s="1">
        <v>400.0</v>
      </c>
    </row>
    <row r="7">
      <c r="A7" s="1" t="s">
        <v>47</v>
      </c>
      <c r="B7" s="1" t="s">
        <v>44</v>
      </c>
      <c r="C7" s="1" t="s">
        <v>45</v>
      </c>
      <c r="D7" s="1">
        <v>55.0</v>
      </c>
      <c r="E7" s="1" t="s">
        <v>46</v>
      </c>
      <c r="F7" s="1">
        <v>0.02755</v>
      </c>
      <c r="G7" s="1">
        <v>0.081959</v>
      </c>
      <c r="H7" s="2">
        <v>2.6525E-5</v>
      </c>
      <c r="I7" s="1">
        <v>400.0</v>
      </c>
    </row>
    <row r="8">
      <c r="A8" s="1" t="s">
        <v>48</v>
      </c>
      <c r="B8" s="1" t="s">
        <v>25</v>
      </c>
      <c r="C8" s="1" t="s">
        <v>49</v>
      </c>
      <c r="D8" s="3">
        <v>47.0</v>
      </c>
      <c r="E8" s="1" t="s">
        <v>41</v>
      </c>
      <c r="F8" s="1">
        <v>0.031985</v>
      </c>
      <c r="G8" s="1">
        <v>0.129273</v>
      </c>
      <c r="H8" s="2">
        <v>1.4337E-5</v>
      </c>
      <c r="I8" s="1">
        <v>400.0</v>
      </c>
    </row>
    <row r="9">
      <c r="A9" s="1" t="s">
        <v>50</v>
      </c>
      <c r="B9" s="1" t="s">
        <v>25</v>
      </c>
      <c r="C9" s="1" t="s">
        <v>49</v>
      </c>
      <c r="D9" s="3">
        <v>47.0</v>
      </c>
      <c r="E9" s="1" t="s">
        <v>41</v>
      </c>
      <c r="F9" s="1">
        <v>0.031985</v>
      </c>
      <c r="G9" s="1">
        <v>0.129273</v>
      </c>
      <c r="H9" s="2">
        <v>1.4337E-5</v>
      </c>
      <c r="I9" s="1">
        <v>400.0</v>
      </c>
    </row>
    <row r="10">
      <c r="A10" s="1" t="s">
        <v>51</v>
      </c>
      <c r="B10" s="1" t="s">
        <v>52</v>
      </c>
      <c r="C10" s="1" t="s">
        <v>53</v>
      </c>
      <c r="D10" s="1">
        <v>169.5</v>
      </c>
      <c r="E10" s="1" t="s">
        <v>41</v>
      </c>
      <c r="F10" s="1">
        <v>0.031985</v>
      </c>
      <c r="G10" s="1">
        <v>0.129273</v>
      </c>
      <c r="H10" s="2">
        <v>1.4337E-5</v>
      </c>
      <c r="I10" s="1">
        <v>400.0</v>
      </c>
    </row>
    <row r="11">
      <c r="A11" s="1" t="s">
        <v>54</v>
      </c>
      <c r="B11" s="1" t="s">
        <v>52</v>
      </c>
      <c r="C11" s="1" t="s">
        <v>53</v>
      </c>
      <c r="D11" s="1">
        <v>169.5</v>
      </c>
      <c r="E11" s="1" t="s">
        <v>41</v>
      </c>
      <c r="F11" s="1">
        <v>0.031985</v>
      </c>
      <c r="G11" s="1">
        <v>0.129273</v>
      </c>
      <c r="H11" s="2">
        <v>1.4337E-5</v>
      </c>
      <c r="I11" s="1">
        <v>400.0</v>
      </c>
    </row>
    <row r="12">
      <c r="A12" s="1" t="s">
        <v>55</v>
      </c>
      <c r="B12" s="1" t="s">
        <v>56</v>
      </c>
      <c r="C12" s="1" t="s">
        <v>57</v>
      </c>
      <c r="D12" s="1">
        <v>69.0</v>
      </c>
      <c r="E12" s="1" t="s">
        <v>41</v>
      </c>
      <c r="F12" s="1">
        <v>0.031985</v>
      </c>
      <c r="G12" s="1">
        <v>0.129273</v>
      </c>
      <c r="H12" s="2">
        <v>1.4337E-5</v>
      </c>
      <c r="I12" s="1">
        <v>400.0</v>
      </c>
    </row>
    <row r="13">
      <c r="A13" s="1" t="s">
        <v>58</v>
      </c>
      <c r="B13" s="1" t="s">
        <v>56</v>
      </c>
      <c r="C13" s="1" t="s">
        <v>57</v>
      </c>
      <c r="D13" s="1">
        <v>69.0</v>
      </c>
      <c r="E13" s="1" t="s">
        <v>41</v>
      </c>
      <c r="F13" s="1">
        <v>0.031985</v>
      </c>
      <c r="G13" s="1">
        <v>0.129273</v>
      </c>
      <c r="H13" s="2">
        <v>1.4337E-5</v>
      </c>
      <c r="I13" s="1">
        <v>400.0</v>
      </c>
    </row>
    <row r="14">
      <c r="A14" s="1" t="s">
        <v>59</v>
      </c>
      <c r="B14" s="1" t="s">
        <v>60</v>
      </c>
      <c r="C14" s="1" t="s">
        <v>61</v>
      </c>
      <c r="D14" s="1">
        <v>163.55</v>
      </c>
      <c r="E14" s="1" t="s">
        <v>62</v>
      </c>
      <c r="F14" s="1">
        <v>0.013593</v>
      </c>
      <c r="G14" s="1">
        <v>0.075809</v>
      </c>
      <c r="H14" s="2">
        <v>2.8674E-5</v>
      </c>
      <c r="I14" s="1">
        <v>400.0</v>
      </c>
    </row>
    <row r="15">
      <c r="A15" s="1" t="s">
        <v>63</v>
      </c>
      <c r="B15" s="1" t="s">
        <v>60</v>
      </c>
      <c r="C15" s="1" t="s">
        <v>61</v>
      </c>
      <c r="D15" s="1">
        <v>163.55</v>
      </c>
      <c r="E15" s="1" t="s">
        <v>62</v>
      </c>
      <c r="F15" s="1">
        <v>0.013593</v>
      </c>
      <c r="G15" s="1">
        <v>0.075809</v>
      </c>
      <c r="H15" s="2">
        <v>2.8674E-5</v>
      </c>
      <c r="I15" s="1">
        <v>400.0</v>
      </c>
    </row>
    <row r="16">
      <c r="A16" s="1" t="s">
        <v>64</v>
      </c>
      <c r="B16" s="1" t="s">
        <v>65</v>
      </c>
      <c r="C16" s="1" t="s">
        <v>66</v>
      </c>
      <c r="D16" s="1">
        <v>16.5</v>
      </c>
      <c r="E16" s="1" t="s">
        <v>41</v>
      </c>
      <c r="F16" s="1">
        <v>0.027187</v>
      </c>
      <c r="G16" s="1">
        <v>0.129273</v>
      </c>
      <c r="H16" s="2">
        <v>1.4337E-5</v>
      </c>
      <c r="I16" s="1">
        <v>400.0</v>
      </c>
    </row>
    <row r="17">
      <c r="A17" s="1" t="s">
        <v>67</v>
      </c>
      <c r="B17" s="1" t="s">
        <v>65</v>
      </c>
      <c r="C17" s="1" t="s">
        <v>66</v>
      </c>
      <c r="D17" s="1">
        <v>16.5</v>
      </c>
      <c r="E17" s="1" t="s">
        <v>41</v>
      </c>
      <c r="F17" s="1">
        <v>0.027187</v>
      </c>
      <c r="G17" s="1">
        <v>0.129273</v>
      </c>
      <c r="H17" s="2">
        <v>1.4337E-5</v>
      </c>
      <c r="I17" s="1">
        <v>400.0</v>
      </c>
    </row>
    <row r="18">
      <c r="A18" s="1" t="s">
        <v>68</v>
      </c>
      <c r="B18" s="1" t="s">
        <v>19</v>
      </c>
      <c r="C18" s="1" t="s">
        <v>69</v>
      </c>
      <c r="D18" s="1">
        <v>28.0</v>
      </c>
      <c r="E18" s="1" t="s">
        <v>41</v>
      </c>
      <c r="F18" s="1">
        <v>0.031985</v>
      </c>
      <c r="G18" s="1">
        <v>0.129273</v>
      </c>
      <c r="H18" s="2">
        <v>1.4337E-5</v>
      </c>
      <c r="I18" s="1">
        <v>400.0</v>
      </c>
    </row>
    <row r="19">
      <c r="A19" s="1" t="s">
        <v>70</v>
      </c>
      <c r="B19" s="1" t="s">
        <v>19</v>
      </c>
      <c r="C19" s="1" t="s">
        <v>69</v>
      </c>
      <c r="D19" s="1">
        <v>28.0</v>
      </c>
      <c r="E19" s="1" t="s">
        <v>41</v>
      </c>
      <c r="F19" s="1">
        <v>0.031985</v>
      </c>
      <c r="G19" s="1">
        <v>0.129273</v>
      </c>
      <c r="H19" s="2">
        <v>1.4337E-5</v>
      </c>
      <c r="I19" s="1">
        <v>400.0</v>
      </c>
    </row>
    <row r="20">
      <c r="A20" s="1" t="s">
        <v>71</v>
      </c>
      <c r="B20" s="1" t="s">
        <v>72</v>
      </c>
      <c r="C20" s="1" t="s">
        <v>60</v>
      </c>
      <c r="D20" s="1">
        <v>1.2</v>
      </c>
      <c r="E20" s="1" t="s">
        <v>62</v>
      </c>
      <c r="F20" s="1">
        <v>0.06397</v>
      </c>
      <c r="G20" s="1">
        <v>0.2362</v>
      </c>
      <c r="H20" s="2">
        <v>7.1685E-6</v>
      </c>
      <c r="I20" s="1">
        <v>400.0</v>
      </c>
    </row>
    <row r="21">
      <c r="A21" s="1" t="s">
        <v>73</v>
      </c>
      <c r="B21" s="1" t="s">
        <v>72</v>
      </c>
      <c r="C21" s="1" t="s">
        <v>60</v>
      </c>
      <c r="D21" s="1">
        <v>1.2</v>
      </c>
      <c r="E21" s="1" t="s">
        <v>62</v>
      </c>
      <c r="F21" s="1">
        <v>0.06397</v>
      </c>
      <c r="G21" s="1">
        <v>0.2362</v>
      </c>
      <c r="H21" s="2">
        <v>7.1685E-6</v>
      </c>
      <c r="I21" s="1">
        <v>400.0</v>
      </c>
    </row>
    <row r="22">
      <c r="A22" s="1" t="s">
        <v>74</v>
      </c>
      <c r="B22" s="1" t="s">
        <v>75</v>
      </c>
      <c r="C22" s="1" t="s">
        <v>76</v>
      </c>
      <c r="D22" s="1">
        <v>55.5</v>
      </c>
      <c r="E22" s="1" t="s">
        <v>62</v>
      </c>
      <c r="F22" s="1">
        <v>0.015992</v>
      </c>
      <c r="G22" s="1">
        <v>0.075809</v>
      </c>
      <c r="H22" s="2">
        <v>2.8674E-5</v>
      </c>
      <c r="I22" s="1">
        <v>400.0</v>
      </c>
    </row>
    <row r="23">
      <c r="A23" s="1" t="s">
        <v>77</v>
      </c>
      <c r="B23" s="1" t="s">
        <v>75</v>
      </c>
      <c r="C23" s="1" t="s">
        <v>76</v>
      </c>
      <c r="D23" s="1">
        <v>55.5</v>
      </c>
      <c r="E23" s="1" t="s">
        <v>62</v>
      </c>
      <c r="F23" s="1">
        <v>0.015992</v>
      </c>
      <c r="G23" s="1">
        <v>0.075809</v>
      </c>
      <c r="H23" s="2">
        <v>2.8674E-5</v>
      </c>
      <c r="I23" s="1">
        <v>400.0</v>
      </c>
    </row>
    <row r="24">
      <c r="A24" s="1" t="s">
        <v>78</v>
      </c>
      <c r="B24" s="1" t="s">
        <v>22</v>
      </c>
      <c r="C24" s="1" t="s">
        <v>79</v>
      </c>
      <c r="D24" s="3">
        <v>134.0</v>
      </c>
      <c r="E24" s="1" t="s">
        <v>41</v>
      </c>
      <c r="F24" s="1">
        <v>0.015992</v>
      </c>
      <c r="G24" s="1">
        <v>0.075809</v>
      </c>
      <c r="H24" s="2">
        <v>2.8674E-5</v>
      </c>
      <c r="I24" s="1">
        <v>400.0</v>
      </c>
    </row>
    <row r="25">
      <c r="A25" s="1" t="s">
        <v>80</v>
      </c>
      <c r="B25" s="1" t="s">
        <v>22</v>
      </c>
      <c r="C25" s="1" t="s">
        <v>79</v>
      </c>
      <c r="D25" s="3">
        <v>134.0</v>
      </c>
      <c r="E25" s="1" t="s">
        <v>41</v>
      </c>
      <c r="F25" s="1">
        <v>0.015992</v>
      </c>
      <c r="G25" s="1">
        <v>0.075809</v>
      </c>
      <c r="H25" s="2">
        <v>2.8674E-5</v>
      </c>
      <c r="I25" s="1">
        <v>400.0</v>
      </c>
    </row>
    <row r="26">
      <c r="A26" s="1" t="s">
        <v>81</v>
      </c>
      <c r="B26" s="1" t="s">
        <v>82</v>
      </c>
      <c r="C26" s="1" t="s">
        <v>61</v>
      </c>
      <c r="D26" s="1">
        <v>96.7</v>
      </c>
      <c r="E26" s="1" t="s">
        <v>62</v>
      </c>
      <c r="F26" s="1">
        <v>0.013593</v>
      </c>
      <c r="G26" s="1">
        <v>0.075809</v>
      </c>
      <c r="H26" s="2">
        <v>2.8674E-5</v>
      </c>
      <c r="I26" s="1">
        <v>400.0</v>
      </c>
    </row>
    <row r="27">
      <c r="A27" s="1" t="s">
        <v>83</v>
      </c>
      <c r="B27" s="1" t="s">
        <v>82</v>
      </c>
      <c r="C27" s="1" t="s">
        <v>61</v>
      </c>
      <c r="D27" s="1">
        <v>96.7</v>
      </c>
      <c r="E27" s="1" t="s">
        <v>62</v>
      </c>
      <c r="F27" s="1">
        <v>0.013593</v>
      </c>
      <c r="G27" s="1">
        <v>0.075809</v>
      </c>
      <c r="H27" s="2">
        <v>2.8674E-5</v>
      </c>
      <c r="I27" s="1">
        <v>400.0</v>
      </c>
    </row>
    <row r="28">
      <c r="A28" s="1" t="s">
        <v>84</v>
      </c>
      <c r="B28" s="1" t="s">
        <v>61</v>
      </c>
      <c r="C28" s="1" t="s">
        <v>44</v>
      </c>
      <c r="D28" s="1">
        <v>75.3</v>
      </c>
      <c r="E28" s="1" t="s">
        <v>62</v>
      </c>
      <c r="F28" s="1">
        <v>0.013593</v>
      </c>
      <c r="G28" s="1">
        <v>0.075809</v>
      </c>
      <c r="H28" s="2">
        <v>2.8674E-5</v>
      </c>
      <c r="I28" s="1">
        <v>400.0</v>
      </c>
    </row>
    <row r="29">
      <c r="A29" s="1" t="s">
        <v>85</v>
      </c>
      <c r="B29" s="1" t="s">
        <v>61</v>
      </c>
      <c r="C29" s="1" t="s">
        <v>44</v>
      </c>
      <c r="D29" s="1">
        <v>75.3</v>
      </c>
      <c r="E29" s="1" t="s">
        <v>62</v>
      </c>
      <c r="F29" s="1">
        <v>0.013593</v>
      </c>
      <c r="G29" s="1">
        <v>0.075809</v>
      </c>
      <c r="H29" s="2">
        <v>2.8674E-5</v>
      </c>
      <c r="I29" s="1">
        <v>400.0</v>
      </c>
    </row>
    <row r="30">
      <c r="A30" s="1" t="s">
        <v>86</v>
      </c>
      <c r="B30" s="1" t="s">
        <v>87</v>
      </c>
      <c r="C30" s="1" t="s">
        <v>79</v>
      </c>
      <c r="D30" s="1">
        <v>105.0</v>
      </c>
      <c r="E30" s="1" t="s">
        <v>41</v>
      </c>
      <c r="F30" s="1">
        <v>0.027187</v>
      </c>
      <c r="G30" s="1">
        <v>0.129273</v>
      </c>
      <c r="H30" s="2">
        <v>1.4337E-5</v>
      </c>
      <c r="I30" s="1">
        <v>400.0</v>
      </c>
    </row>
    <row r="31">
      <c r="A31" s="1" t="s">
        <v>88</v>
      </c>
      <c r="B31" s="1" t="s">
        <v>87</v>
      </c>
      <c r="C31" s="1" t="s">
        <v>79</v>
      </c>
      <c r="D31" s="1">
        <v>105.0</v>
      </c>
      <c r="E31" s="1" t="s">
        <v>41</v>
      </c>
      <c r="F31" s="1">
        <v>0.027187</v>
      </c>
      <c r="G31" s="1">
        <v>0.129273</v>
      </c>
      <c r="H31" s="2">
        <v>1.4337E-5</v>
      </c>
      <c r="I31" s="1">
        <v>400.0</v>
      </c>
    </row>
    <row r="32">
      <c r="A32" s="4" t="s">
        <v>89</v>
      </c>
      <c r="B32" s="4" t="s">
        <v>90</v>
      </c>
      <c r="C32" s="4" t="s">
        <v>72</v>
      </c>
      <c r="D32" s="4">
        <v>27.8</v>
      </c>
      <c r="E32" s="4" t="s">
        <v>62</v>
      </c>
      <c r="F32" s="4">
        <v>0.06397</v>
      </c>
      <c r="G32" s="4">
        <v>0.2362</v>
      </c>
      <c r="H32" s="5">
        <v>7.1685E-6</v>
      </c>
      <c r="I32" s="4">
        <v>400.0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4" t="s">
        <v>91</v>
      </c>
      <c r="B33" s="4" t="s">
        <v>90</v>
      </c>
      <c r="C33" s="4" t="s">
        <v>72</v>
      </c>
      <c r="D33" s="4">
        <v>27.8</v>
      </c>
      <c r="E33" s="4" t="s">
        <v>62</v>
      </c>
      <c r="F33" s="4">
        <v>0.06397</v>
      </c>
      <c r="G33" s="4">
        <v>0.2362</v>
      </c>
      <c r="H33" s="5">
        <v>7.1685E-6</v>
      </c>
      <c r="I33" s="4">
        <v>400.0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1" t="s">
        <v>92</v>
      </c>
      <c r="B34" s="1" t="s">
        <v>93</v>
      </c>
      <c r="C34" s="1" t="s">
        <v>75</v>
      </c>
      <c r="D34" s="1">
        <v>38.0</v>
      </c>
      <c r="E34" s="1" t="s">
        <v>62</v>
      </c>
      <c r="F34" s="1">
        <v>0.015992</v>
      </c>
      <c r="G34" s="1">
        <v>0.075809</v>
      </c>
      <c r="H34" s="2">
        <v>2.8674E-5</v>
      </c>
      <c r="I34" s="1">
        <v>400.0</v>
      </c>
    </row>
    <row r="35">
      <c r="A35" s="1" t="s">
        <v>94</v>
      </c>
      <c r="B35" s="1" t="s">
        <v>93</v>
      </c>
      <c r="C35" s="1" t="s">
        <v>75</v>
      </c>
      <c r="D35" s="1">
        <v>38.0</v>
      </c>
      <c r="E35" s="1" t="s">
        <v>62</v>
      </c>
      <c r="F35" s="1">
        <v>0.015992</v>
      </c>
      <c r="G35" s="1">
        <v>0.075809</v>
      </c>
      <c r="H35" s="2">
        <v>2.8674E-5</v>
      </c>
      <c r="I35" s="1">
        <v>400.0</v>
      </c>
    </row>
    <row r="36">
      <c r="A36" s="1" t="s">
        <v>95</v>
      </c>
      <c r="B36" s="1" t="s">
        <v>76</v>
      </c>
      <c r="C36" s="1" t="s">
        <v>96</v>
      </c>
      <c r="D36" s="1">
        <v>66.0</v>
      </c>
      <c r="E36" s="1" t="s">
        <v>62</v>
      </c>
      <c r="F36" s="1">
        <v>0.015992</v>
      </c>
      <c r="G36" s="1">
        <v>0.075809</v>
      </c>
      <c r="H36" s="2">
        <v>2.8674E-5</v>
      </c>
      <c r="I36" s="1">
        <v>400.0</v>
      </c>
    </row>
    <row r="37">
      <c r="A37" s="1" t="s">
        <v>97</v>
      </c>
      <c r="B37" s="1" t="s">
        <v>76</v>
      </c>
      <c r="C37" s="1" t="s">
        <v>96</v>
      </c>
      <c r="D37" s="1">
        <v>66.0</v>
      </c>
      <c r="E37" s="1" t="s">
        <v>62</v>
      </c>
      <c r="F37" s="1">
        <v>0.015992</v>
      </c>
      <c r="G37" s="1">
        <v>0.075809</v>
      </c>
      <c r="H37" s="2">
        <v>2.8674E-5</v>
      </c>
      <c r="I37" s="1">
        <v>400.0</v>
      </c>
    </row>
    <row r="38">
      <c r="A38" s="1" t="s">
        <v>98</v>
      </c>
      <c r="B38" s="1" t="s">
        <v>45</v>
      </c>
      <c r="C38" s="1" t="s">
        <v>96</v>
      </c>
      <c r="D38" s="1">
        <v>151.0</v>
      </c>
      <c r="E38" s="1" t="s">
        <v>62</v>
      </c>
      <c r="F38" s="1">
        <v>0.015992</v>
      </c>
      <c r="G38" s="1">
        <v>0.075809</v>
      </c>
      <c r="H38" s="2">
        <v>2.8674E-5</v>
      </c>
      <c r="I38" s="1">
        <v>400.0</v>
      </c>
    </row>
    <row r="39">
      <c r="A39" s="1" t="s">
        <v>99</v>
      </c>
      <c r="B39" s="1" t="s">
        <v>45</v>
      </c>
      <c r="C39" s="1" t="s">
        <v>96</v>
      </c>
      <c r="D39" s="1">
        <v>151.0</v>
      </c>
      <c r="E39" s="1" t="s">
        <v>62</v>
      </c>
      <c r="F39" s="1">
        <v>0.015992</v>
      </c>
      <c r="G39" s="1">
        <v>0.075809</v>
      </c>
      <c r="H39" s="2">
        <v>2.8674E-5</v>
      </c>
      <c r="I39" s="1">
        <v>400.0</v>
      </c>
    </row>
    <row r="40">
      <c r="A40" s="1" t="s">
        <v>100</v>
      </c>
      <c r="B40" s="1" t="s">
        <v>101</v>
      </c>
      <c r="C40" s="1" t="s">
        <v>87</v>
      </c>
      <c r="D40" s="1">
        <v>90.0</v>
      </c>
      <c r="E40" s="1" t="s">
        <v>62</v>
      </c>
      <c r="F40" s="1">
        <v>0.013593</v>
      </c>
      <c r="G40" s="1">
        <v>0.075809</v>
      </c>
      <c r="H40" s="2">
        <v>2.8674E-5</v>
      </c>
      <c r="I40" s="1">
        <v>400.0</v>
      </c>
    </row>
    <row r="41">
      <c r="A41" s="4" t="s">
        <v>102</v>
      </c>
      <c r="B41" s="4" t="s">
        <v>87</v>
      </c>
      <c r="C41" s="4" t="s">
        <v>103</v>
      </c>
      <c r="D41" s="4">
        <v>112.0</v>
      </c>
      <c r="E41" s="4" t="s">
        <v>62</v>
      </c>
      <c r="F41" s="4">
        <v>0.013593</v>
      </c>
      <c r="G41" s="4">
        <v>0.075809</v>
      </c>
      <c r="H41" s="5">
        <v>2.8674E-5</v>
      </c>
      <c r="I41" s="4">
        <v>400.0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4" t="s">
        <v>104</v>
      </c>
      <c r="B42" s="4" t="s">
        <v>87</v>
      </c>
      <c r="C42" s="4" t="s">
        <v>103</v>
      </c>
      <c r="D42" s="4">
        <v>112.0</v>
      </c>
      <c r="E42" s="4" t="s">
        <v>62</v>
      </c>
      <c r="F42" s="4">
        <v>0.013593</v>
      </c>
      <c r="G42" s="4">
        <v>0.075809</v>
      </c>
      <c r="H42" s="5">
        <v>2.8674E-5</v>
      </c>
      <c r="I42" s="4">
        <v>400.0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1" t="s">
        <v>105</v>
      </c>
      <c r="B43" s="1" t="s">
        <v>72</v>
      </c>
      <c r="C43" s="1" t="s">
        <v>106</v>
      </c>
      <c r="D43" s="1">
        <v>17.0</v>
      </c>
      <c r="E43" s="1" t="s">
        <v>62</v>
      </c>
      <c r="F43" s="1">
        <v>0.013593</v>
      </c>
      <c r="G43" s="1">
        <v>0.075809</v>
      </c>
      <c r="H43" s="2">
        <v>2.8674E-5</v>
      </c>
      <c r="I43" s="1">
        <v>400.0</v>
      </c>
    </row>
    <row r="44">
      <c r="A44" s="1" t="s">
        <v>107</v>
      </c>
      <c r="B44" s="1" t="s">
        <v>72</v>
      </c>
      <c r="C44" s="1" t="s">
        <v>106</v>
      </c>
      <c r="D44" s="1">
        <v>17.0</v>
      </c>
      <c r="E44" s="1" t="s">
        <v>62</v>
      </c>
      <c r="F44" s="1">
        <v>0.013593</v>
      </c>
      <c r="G44" s="1">
        <v>0.075809</v>
      </c>
      <c r="H44" s="2">
        <v>2.8674E-5</v>
      </c>
      <c r="I44" s="1">
        <v>400.0</v>
      </c>
    </row>
    <row r="45">
      <c r="A45" s="1" t="s">
        <v>108</v>
      </c>
      <c r="B45" s="1" t="s">
        <v>61</v>
      </c>
      <c r="C45" s="1" t="s">
        <v>106</v>
      </c>
      <c r="D45" s="1">
        <v>147.0</v>
      </c>
      <c r="E45" s="1" t="s">
        <v>62</v>
      </c>
      <c r="F45" s="1">
        <v>0.013593</v>
      </c>
      <c r="G45" s="1">
        <v>0.075809</v>
      </c>
      <c r="H45" s="2">
        <v>2.8674E-5</v>
      </c>
      <c r="I45" s="1">
        <v>400.0</v>
      </c>
    </row>
    <row r="46">
      <c r="A46" s="1" t="s">
        <v>109</v>
      </c>
      <c r="B46" s="1" t="s">
        <v>61</v>
      </c>
      <c r="C46" s="1" t="s">
        <v>106</v>
      </c>
      <c r="D46" s="1">
        <v>147.0</v>
      </c>
      <c r="E46" s="1" t="s">
        <v>62</v>
      </c>
      <c r="F46" s="1">
        <v>0.013593</v>
      </c>
      <c r="G46" s="1">
        <v>0.075809</v>
      </c>
      <c r="H46" s="2">
        <v>2.8674E-5</v>
      </c>
      <c r="I46" s="1">
        <v>400.0</v>
      </c>
    </row>
    <row r="47">
      <c r="A47" s="1" t="s">
        <v>110</v>
      </c>
      <c r="B47" s="1" t="s">
        <v>106</v>
      </c>
      <c r="C47" s="1" t="s">
        <v>111</v>
      </c>
      <c r="D47" s="1">
        <v>9.9</v>
      </c>
      <c r="E47" s="1" t="s">
        <v>62</v>
      </c>
      <c r="F47" s="1">
        <v>0.015992</v>
      </c>
      <c r="G47" s="1">
        <v>0.075809</v>
      </c>
      <c r="H47" s="2">
        <v>2.8674E-5</v>
      </c>
      <c r="I47" s="1">
        <v>400.0</v>
      </c>
    </row>
    <row r="48">
      <c r="A48" s="1" t="s">
        <v>112</v>
      </c>
      <c r="B48" s="1" t="s">
        <v>106</v>
      </c>
      <c r="C48" s="1" t="s">
        <v>111</v>
      </c>
      <c r="D48" s="1">
        <v>9.9</v>
      </c>
      <c r="E48" s="1" t="s">
        <v>62</v>
      </c>
      <c r="F48" s="1">
        <v>0.015992</v>
      </c>
      <c r="G48" s="1">
        <v>0.075809</v>
      </c>
      <c r="H48" s="2">
        <v>2.8674E-5</v>
      </c>
      <c r="I48" s="1">
        <v>400.0</v>
      </c>
    </row>
    <row r="49">
      <c r="A49" s="1" t="s">
        <v>113</v>
      </c>
      <c r="B49" s="1" t="s">
        <v>114</v>
      </c>
      <c r="C49" s="1" t="s">
        <v>53</v>
      </c>
      <c r="D49" s="1">
        <v>73.0</v>
      </c>
      <c r="E49" s="1" t="s">
        <v>62</v>
      </c>
      <c r="F49" s="1">
        <v>0.013593</v>
      </c>
      <c r="G49" s="1">
        <v>0.075809</v>
      </c>
      <c r="H49" s="2">
        <v>2.8674E-5</v>
      </c>
      <c r="I49" s="1">
        <v>400.0</v>
      </c>
    </row>
    <row r="50">
      <c r="A50" s="1" t="s">
        <v>115</v>
      </c>
      <c r="B50" s="1" t="s">
        <v>114</v>
      </c>
      <c r="C50" s="1" t="s">
        <v>53</v>
      </c>
      <c r="D50" s="1">
        <v>73.0</v>
      </c>
      <c r="E50" s="1" t="s">
        <v>62</v>
      </c>
      <c r="F50" s="1">
        <v>0.013593</v>
      </c>
      <c r="G50" s="1">
        <v>0.075809</v>
      </c>
      <c r="H50" s="2">
        <v>2.8674E-5</v>
      </c>
      <c r="I50" s="1">
        <v>400.0</v>
      </c>
    </row>
    <row r="51">
      <c r="A51" s="1" t="s">
        <v>116</v>
      </c>
      <c r="B51" s="1" t="s">
        <v>44</v>
      </c>
      <c r="C51" s="1" t="s">
        <v>53</v>
      </c>
      <c r="D51" s="1">
        <v>51.0</v>
      </c>
      <c r="E51" s="1" t="s">
        <v>62</v>
      </c>
      <c r="F51" s="1">
        <v>0.013593</v>
      </c>
      <c r="G51" s="1">
        <v>0.075809</v>
      </c>
      <c r="H51" s="2">
        <v>2.8674E-5</v>
      </c>
      <c r="I51" s="1">
        <v>400.0</v>
      </c>
    </row>
    <row r="52">
      <c r="A52" s="1" t="s">
        <v>117</v>
      </c>
      <c r="B52" s="1" t="s">
        <v>101</v>
      </c>
      <c r="C52" s="1" t="s">
        <v>61</v>
      </c>
      <c r="D52" s="1">
        <v>156.0</v>
      </c>
      <c r="E52" s="1" t="s">
        <v>62</v>
      </c>
      <c r="F52" s="1">
        <v>0.013593</v>
      </c>
      <c r="G52" s="1">
        <v>0.075809</v>
      </c>
      <c r="H52" s="2">
        <v>2.8674E-5</v>
      </c>
      <c r="I52" s="1">
        <v>400.0</v>
      </c>
    </row>
    <row r="53">
      <c r="A53" s="1" t="s">
        <v>118</v>
      </c>
      <c r="B53" s="1" t="s">
        <v>119</v>
      </c>
      <c r="C53" s="1" t="s">
        <v>120</v>
      </c>
      <c r="D53" s="1">
        <v>175.0</v>
      </c>
      <c r="E53" s="1" t="s">
        <v>121</v>
      </c>
      <c r="F53" s="1">
        <v>0.08831</v>
      </c>
      <c r="G53" s="1">
        <v>0.2441</v>
      </c>
      <c r="H53" s="2">
        <v>6.8729E-6</v>
      </c>
      <c r="I53" s="1">
        <v>230.0</v>
      </c>
    </row>
    <row r="54">
      <c r="A54" s="1" t="s">
        <v>122</v>
      </c>
      <c r="B54" s="1" t="s">
        <v>119</v>
      </c>
      <c r="C54" s="1" t="s">
        <v>120</v>
      </c>
      <c r="D54" s="1">
        <v>175.0</v>
      </c>
      <c r="E54" s="1" t="s">
        <v>121</v>
      </c>
      <c r="F54" s="1">
        <v>0.08831</v>
      </c>
      <c r="G54" s="1">
        <v>0.2441</v>
      </c>
      <c r="H54" s="2">
        <v>6.8729E-6</v>
      </c>
      <c r="I54" s="1">
        <v>230.0</v>
      </c>
    </row>
    <row r="55">
      <c r="A55" s="1" t="s">
        <v>123</v>
      </c>
      <c r="B55" s="1" t="s">
        <v>124</v>
      </c>
      <c r="C55" s="1" t="s">
        <v>119</v>
      </c>
      <c r="D55" s="1">
        <v>27.0</v>
      </c>
      <c r="E55" s="1" t="s">
        <v>121</v>
      </c>
      <c r="F55" s="1">
        <v>0.070648</v>
      </c>
      <c r="G55" s="1">
        <v>0.2441</v>
      </c>
      <c r="H55" s="2">
        <v>6.8729E-6</v>
      </c>
      <c r="I55" s="1">
        <v>230.0</v>
      </c>
    </row>
    <row r="56">
      <c r="A56" s="1" t="s">
        <v>125</v>
      </c>
      <c r="B56" s="1" t="s">
        <v>124</v>
      </c>
      <c r="C56" s="1" t="s">
        <v>119</v>
      </c>
      <c r="D56" s="1">
        <v>27.0</v>
      </c>
      <c r="E56" s="1" t="s">
        <v>121</v>
      </c>
      <c r="F56" s="1">
        <v>0.070648</v>
      </c>
      <c r="G56" s="1">
        <v>0.2441</v>
      </c>
      <c r="H56" s="2">
        <v>6.8729E-6</v>
      </c>
      <c r="I56" s="1">
        <v>230.0</v>
      </c>
    </row>
    <row r="57">
      <c r="A57" s="1" t="s">
        <v>126</v>
      </c>
      <c r="B57" s="1" t="s">
        <v>119</v>
      </c>
      <c r="C57" s="1" t="s">
        <v>127</v>
      </c>
      <c r="D57" s="1">
        <v>44.0</v>
      </c>
      <c r="E57" s="1" t="s">
        <v>121</v>
      </c>
      <c r="F57" s="1">
        <v>0.08831</v>
      </c>
      <c r="G57" s="1">
        <v>0.2441</v>
      </c>
      <c r="H57" s="2">
        <v>6.8729E-6</v>
      </c>
      <c r="I57" s="1">
        <v>230.0</v>
      </c>
    </row>
    <row r="58">
      <c r="A58" s="1" t="s">
        <v>128</v>
      </c>
      <c r="B58" s="1" t="s">
        <v>119</v>
      </c>
      <c r="C58" s="1" t="s">
        <v>127</v>
      </c>
      <c r="D58" s="1">
        <v>44.0</v>
      </c>
      <c r="E58" s="1" t="s">
        <v>121</v>
      </c>
      <c r="F58" s="1">
        <v>0.08831</v>
      </c>
      <c r="G58" s="1">
        <v>0.2441</v>
      </c>
      <c r="H58" s="2">
        <v>6.8729E-6</v>
      </c>
      <c r="I58" s="1">
        <v>230.0</v>
      </c>
    </row>
    <row r="59">
      <c r="A59" s="1" t="s">
        <v>129</v>
      </c>
      <c r="B59" s="1" t="s">
        <v>130</v>
      </c>
      <c r="C59" s="1" t="s">
        <v>131</v>
      </c>
      <c r="D59" s="1">
        <v>22.5</v>
      </c>
      <c r="E59" s="1" t="s">
        <v>132</v>
      </c>
      <c r="F59" s="1">
        <v>0.1101</v>
      </c>
      <c r="G59" s="1">
        <v>0.2559</v>
      </c>
      <c r="H59" s="2">
        <v>6.5703E-6</v>
      </c>
      <c r="I59" s="1">
        <v>230.0</v>
      </c>
    </row>
    <row r="60">
      <c r="A60" s="1" t="s">
        <v>133</v>
      </c>
      <c r="B60" s="1" t="s">
        <v>130</v>
      </c>
      <c r="C60" s="1" t="s">
        <v>131</v>
      </c>
      <c r="D60" s="1">
        <v>22.5</v>
      </c>
      <c r="E60" s="1" t="s">
        <v>132</v>
      </c>
      <c r="F60" s="1">
        <v>0.1101</v>
      </c>
      <c r="G60" s="1">
        <v>0.2559</v>
      </c>
      <c r="H60" s="2">
        <v>6.5703E-6</v>
      </c>
      <c r="I60" s="1">
        <v>230.0</v>
      </c>
    </row>
    <row r="61">
      <c r="A61" s="1" t="s">
        <v>134</v>
      </c>
      <c r="B61" s="1" t="s">
        <v>127</v>
      </c>
      <c r="C61" s="1" t="s">
        <v>135</v>
      </c>
      <c r="D61" s="1">
        <v>79.0</v>
      </c>
      <c r="E61" s="1" t="s">
        <v>136</v>
      </c>
      <c r="F61" s="1">
        <v>0.06397</v>
      </c>
      <c r="G61" s="1">
        <v>0.2362</v>
      </c>
      <c r="H61" s="2">
        <v>7.1685E-6</v>
      </c>
      <c r="I61" s="1">
        <v>230.0</v>
      </c>
    </row>
    <row r="62">
      <c r="A62" s="1" t="s">
        <v>137</v>
      </c>
      <c r="B62" s="1" t="s">
        <v>127</v>
      </c>
      <c r="C62" s="1" t="s">
        <v>135</v>
      </c>
      <c r="D62" s="1">
        <v>79.0</v>
      </c>
      <c r="E62" s="1" t="s">
        <v>136</v>
      </c>
      <c r="F62" s="1">
        <v>0.06397</v>
      </c>
      <c r="G62" s="1">
        <v>0.2362</v>
      </c>
      <c r="H62" s="2">
        <v>7.1685E-6</v>
      </c>
      <c r="I62" s="1">
        <v>230.0</v>
      </c>
    </row>
    <row r="63">
      <c r="A63" s="1" t="s">
        <v>138</v>
      </c>
      <c r="B63" s="1" t="s">
        <v>119</v>
      </c>
      <c r="C63" s="1" t="s">
        <v>139</v>
      </c>
      <c r="D63" s="1">
        <v>50.0</v>
      </c>
      <c r="E63" s="1" t="s">
        <v>140</v>
      </c>
      <c r="F63" s="1">
        <v>0.044155</v>
      </c>
      <c r="G63" s="1">
        <v>0.133679</v>
      </c>
      <c r="H63" s="2">
        <v>1.3746E-5</v>
      </c>
      <c r="I63" s="1">
        <v>230.0</v>
      </c>
    </row>
    <row r="64">
      <c r="A64" s="1" t="s">
        <v>141</v>
      </c>
      <c r="B64" s="1" t="s">
        <v>119</v>
      </c>
      <c r="C64" s="1" t="s">
        <v>139</v>
      </c>
      <c r="D64" s="1">
        <v>50.0</v>
      </c>
      <c r="E64" s="1" t="s">
        <v>140</v>
      </c>
      <c r="F64" s="1">
        <v>0.044155</v>
      </c>
      <c r="G64" s="1">
        <v>0.133679</v>
      </c>
      <c r="H64" s="2">
        <v>1.3746E-5</v>
      </c>
      <c r="I64" s="1">
        <v>230.0</v>
      </c>
    </row>
    <row r="65">
      <c r="A65" s="1" t="s">
        <v>142</v>
      </c>
      <c r="B65" s="1" t="s">
        <v>139</v>
      </c>
      <c r="C65" s="1" t="s">
        <v>143</v>
      </c>
      <c r="D65" s="3">
        <v>20.0</v>
      </c>
      <c r="E65" s="1" t="s">
        <v>140</v>
      </c>
      <c r="F65" s="1"/>
      <c r="G65" s="1"/>
      <c r="H65" s="2"/>
      <c r="I65" s="1"/>
    </row>
    <row r="66">
      <c r="A66" s="1" t="s">
        <v>144</v>
      </c>
      <c r="B66" s="1" t="s">
        <v>139</v>
      </c>
      <c r="C66" s="1" t="s">
        <v>143</v>
      </c>
      <c r="D66" s="3">
        <v>20.0</v>
      </c>
      <c r="E66" s="1" t="s">
        <v>140</v>
      </c>
      <c r="F66" s="1"/>
      <c r="G66" s="1"/>
      <c r="H66" s="2"/>
      <c r="I66" s="1"/>
    </row>
    <row r="67">
      <c r="A67" s="1" t="s">
        <v>145</v>
      </c>
      <c r="B67" s="1" t="s">
        <v>146</v>
      </c>
      <c r="C67" s="1" t="s">
        <v>139</v>
      </c>
      <c r="D67" s="1">
        <v>22.0</v>
      </c>
      <c r="E67" s="1" t="s">
        <v>140</v>
      </c>
      <c r="F67" s="1">
        <v>0.044155</v>
      </c>
      <c r="G67" s="1">
        <v>0.133679</v>
      </c>
      <c r="H67" s="2">
        <v>1.3746E-5</v>
      </c>
      <c r="I67" s="1">
        <v>230.0</v>
      </c>
    </row>
    <row r="68">
      <c r="A68" s="1" t="s">
        <v>147</v>
      </c>
      <c r="B68" s="1" t="s">
        <v>146</v>
      </c>
      <c r="C68" s="1" t="s">
        <v>139</v>
      </c>
      <c r="D68" s="1">
        <v>22.0</v>
      </c>
      <c r="E68" s="1" t="s">
        <v>140</v>
      </c>
      <c r="F68" s="1">
        <v>0.044155</v>
      </c>
      <c r="G68" s="1">
        <v>0.133679</v>
      </c>
      <c r="H68" s="2">
        <v>1.3746E-5</v>
      </c>
      <c r="I68" s="1">
        <v>230.0</v>
      </c>
    </row>
    <row r="69">
      <c r="A69" s="1" t="s">
        <v>142</v>
      </c>
      <c r="B69" s="1" t="s">
        <v>139</v>
      </c>
      <c r="C69" s="1" t="s">
        <v>143</v>
      </c>
      <c r="D69" s="3">
        <v>20.0</v>
      </c>
      <c r="E69" s="1" t="s">
        <v>140</v>
      </c>
      <c r="F69" s="1"/>
      <c r="G69" s="1"/>
      <c r="H69" s="2"/>
      <c r="I69" s="1"/>
    </row>
    <row r="70">
      <c r="A70" s="1" t="s">
        <v>142</v>
      </c>
      <c r="B70" s="1" t="s">
        <v>139</v>
      </c>
      <c r="C70" s="1" t="s">
        <v>143</v>
      </c>
      <c r="D70" s="3">
        <v>20.0</v>
      </c>
      <c r="E70" s="1" t="s">
        <v>140</v>
      </c>
      <c r="F70" s="1"/>
      <c r="G70" s="1"/>
      <c r="H70" s="2"/>
      <c r="I70" s="1"/>
    </row>
    <row r="71">
      <c r="A71" s="1" t="s">
        <v>148</v>
      </c>
      <c r="B71" s="1" t="s">
        <v>146</v>
      </c>
      <c r="C71" s="1" t="s">
        <v>149</v>
      </c>
      <c r="D71" s="1">
        <v>12.5</v>
      </c>
      <c r="E71" s="1" t="s">
        <v>140</v>
      </c>
      <c r="F71" s="1">
        <v>0.044155</v>
      </c>
      <c r="G71" s="1">
        <v>0.133679</v>
      </c>
      <c r="H71" s="2">
        <v>1.3746E-5</v>
      </c>
      <c r="I71" s="1">
        <v>230.0</v>
      </c>
    </row>
    <row r="72">
      <c r="A72" s="1" t="s">
        <v>150</v>
      </c>
      <c r="B72" s="1" t="s">
        <v>146</v>
      </c>
      <c r="C72" s="1" t="s">
        <v>149</v>
      </c>
      <c r="D72" s="1">
        <v>12.5</v>
      </c>
      <c r="E72" s="1" t="s">
        <v>140</v>
      </c>
      <c r="F72" s="1">
        <v>0.044155</v>
      </c>
      <c r="G72" s="1">
        <v>0.133679</v>
      </c>
      <c r="H72" s="2">
        <v>1.3746E-5</v>
      </c>
      <c r="I72" s="1">
        <v>230.0</v>
      </c>
    </row>
    <row r="73">
      <c r="A73" s="1" t="s">
        <v>151</v>
      </c>
      <c r="B73" s="1" t="s">
        <v>149</v>
      </c>
      <c r="C73" s="1" t="s">
        <v>152</v>
      </c>
      <c r="D73" s="1">
        <v>12.25</v>
      </c>
      <c r="E73" s="1" t="s">
        <v>140</v>
      </c>
      <c r="F73" s="1">
        <v>0.044155</v>
      </c>
      <c r="G73" s="1">
        <v>0.133679</v>
      </c>
      <c r="H73" s="2">
        <v>1.3746E-5</v>
      </c>
      <c r="I73" s="1">
        <v>230.0</v>
      </c>
    </row>
    <row r="74">
      <c r="A74" s="1" t="s">
        <v>153</v>
      </c>
      <c r="B74" s="1" t="s">
        <v>149</v>
      </c>
      <c r="C74" s="1" t="s">
        <v>152</v>
      </c>
      <c r="D74" s="1">
        <v>12.25</v>
      </c>
      <c r="E74" s="1" t="s">
        <v>140</v>
      </c>
      <c r="F74" s="1">
        <v>0.044155</v>
      </c>
      <c r="G74" s="1">
        <v>0.133679</v>
      </c>
      <c r="H74" s="2">
        <v>1.3746E-5</v>
      </c>
      <c r="I74" s="1">
        <v>230.0</v>
      </c>
    </row>
    <row r="75">
      <c r="A75" s="1" t="s">
        <v>154</v>
      </c>
      <c r="B75" s="1" t="s">
        <v>152</v>
      </c>
      <c r="C75" s="1" t="s">
        <v>155</v>
      </c>
      <c r="D75" s="1">
        <v>12.25</v>
      </c>
      <c r="E75" s="1" t="s">
        <v>140</v>
      </c>
      <c r="F75" s="1">
        <v>0.044155</v>
      </c>
      <c r="G75" s="1">
        <v>0.133679</v>
      </c>
      <c r="H75" s="2">
        <v>1.3746E-5</v>
      </c>
      <c r="I75" s="1">
        <v>230.0</v>
      </c>
    </row>
    <row r="76">
      <c r="A76" s="1" t="s">
        <v>156</v>
      </c>
      <c r="B76" s="1" t="s">
        <v>152</v>
      </c>
      <c r="C76" s="1" t="s">
        <v>155</v>
      </c>
      <c r="D76" s="1">
        <v>12.25</v>
      </c>
      <c r="E76" s="1" t="s">
        <v>140</v>
      </c>
      <c r="F76" s="1">
        <v>0.044155</v>
      </c>
      <c r="G76" s="1">
        <v>0.133679</v>
      </c>
      <c r="H76" s="2">
        <v>1.3746E-5</v>
      </c>
      <c r="I76" s="1">
        <v>230.0</v>
      </c>
    </row>
    <row r="77">
      <c r="A77" s="1" t="s">
        <v>157</v>
      </c>
      <c r="B77" s="1" t="s">
        <v>135</v>
      </c>
      <c r="C77" s="1" t="s">
        <v>158</v>
      </c>
      <c r="D77" s="3">
        <v>70.0</v>
      </c>
      <c r="E77" s="1" t="s">
        <v>136</v>
      </c>
      <c r="F77" s="1">
        <v>0.06397</v>
      </c>
      <c r="G77" s="1">
        <v>0.2362</v>
      </c>
      <c r="H77" s="2">
        <v>7.1685E-6</v>
      </c>
      <c r="I77" s="1">
        <v>230.0</v>
      </c>
    </row>
    <row r="78">
      <c r="A78" s="1" t="s">
        <v>159</v>
      </c>
      <c r="B78" s="1" t="s">
        <v>135</v>
      </c>
      <c r="C78" s="1" t="s">
        <v>158</v>
      </c>
      <c r="D78" s="3">
        <v>70.0</v>
      </c>
      <c r="E78" s="1" t="s">
        <v>136</v>
      </c>
      <c r="F78" s="1">
        <v>0.06397</v>
      </c>
      <c r="G78" s="1">
        <v>0.2362</v>
      </c>
      <c r="H78" s="2">
        <v>7.1685E-6</v>
      </c>
      <c r="I78" s="1">
        <v>230.0</v>
      </c>
    </row>
    <row r="79">
      <c r="A79" s="1" t="s">
        <v>160</v>
      </c>
      <c r="B79" s="1" t="s">
        <v>158</v>
      </c>
      <c r="C79" s="1" t="s">
        <v>65</v>
      </c>
      <c r="D79" s="3">
        <v>26.0</v>
      </c>
      <c r="E79" s="1" t="s">
        <v>136</v>
      </c>
      <c r="F79" s="1"/>
      <c r="G79" s="1"/>
      <c r="H79" s="2"/>
      <c r="I79" s="1"/>
    </row>
    <row r="80">
      <c r="A80" s="1" t="s">
        <v>161</v>
      </c>
      <c r="B80" s="1" t="s">
        <v>158</v>
      </c>
      <c r="C80" s="1" t="s">
        <v>65</v>
      </c>
      <c r="D80" s="3">
        <v>26.0</v>
      </c>
      <c r="E80" s="1" t="s">
        <v>136</v>
      </c>
      <c r="F80" s="1"/>
      <c r="G80" s="1"/>
      <c r="H80" s="2"/>
      <c r="I80" s="1"/>
    </row>
    <row r="81">
      <c r="A81" s="1" t="s">
        <v>162</v>
      </c>
      <c r="B81" s="1" t="s">
        <v>65</v>
      </c>
      <c r="C81" s="1" t="s">
        <v>163</v>
      </c>
      <c r="D81" s="3">
        <v>40.0</v>
      </c>
      <c r="E81" s="1" t="s">
        <v>136</v>
      </c>
      <c r="F81" s="1"/>
      <c r="G81" s="1"/>
      <c r="H81" s="2"/>
      <c r="I81" s="1"/>
    </row>
    <row r="82">
      <c r="A82" s="1" t="s">
        <v>164</v>
      </c>
      <c r="B82" s="1" t="s">
        <v>65</v>
      </c>
      <c r="C82" s="1" t="s">
        <v>163</v>
      </c>
      <c r="D82" s="3">
        <v>40.0</v>
      </c>
      <c r="E82" s="1" t="s">
        <v>136</v>
      </c>
      <c r="F82" s="1"/>
      <c r="G82" s="1"/>
      <c r="H82" s="2"/>
      <c r="I82" s="1"/>
    </row>
    <row r="83">
      <c r="A83" s="1" t="s">
        <v>165</v>
      </c>
      <c r="B83" s="1" t="s">
        <v>163</v>
      </c>
      <c r="C83" s="1" t="s">
        <v>166</v>
      </c>
      <c r="D83" s="3">
        <v>13.0</v>
      </c>
      <c r="E83" s="1" t="s">
        <v>136</v>
      </c>
      <c r="F83" s="1"/>
      <c r="G83" s="1"/>
      <c r="H83" s="2"/>
      <c r="I83" s="1"/>
    </row>
    <row r="84">
      <c r="A84" s="1" t="s">
        <v>167</v>
      </c>
      <c r="B84" s="1" t="s">
        <v>163</v>
      </c>
      <c r="C84" s="1" t="s">
        <v>166</v>
      </c>
      <c r="D84" s="3">
        <v>13.0</v>
      </c>
      <c r="E84" s="1" t="s">
        <v>136</v>
      </c>
      <c r="F84" s="1"/>
      <c r="G84" s="1"/>
      <c r="H84" s="2"/>
      <c r="I84" s="1"/>
    </row>
    <row r="85">
      <c r="A85" s="1" t="s">
        <v>168</v>
      </c>
      <c r="B85" s="1" t="s">
        <v>166</v>
      </c>
      <c r="C85" s="1" t="s">
        <v>131</v>
      </c>
      <c r="D85" s="3">
        <v>9.0</v>
      </c>
      <c r="E85" s="1" t="s">
        <v>136</v>
      </c>
      <c r="F85" s="1"/>
      <c r="G85" s="1"/>
      <c r="H85" s="2"/>
      <c r="I85" s="1"/>
    </row>
    <row r="86">
      <c r="A86" s="1" t="s">
        <v>169</v>
      </c>
      <c r="B86" s="1" t="s">
        <v>166</v>
      </c>
      <c r="C86" s="1" t="s">
        <v>131</v>
      </c>
      <c r="D86" s="3">
        <v>9.0</v>
      </c>
      <c r="E86" s="1" t="s">
        <v>136</v>
      </c>
      <c r="F86" s="1"/>
      <c r="G86" s="1"/>
      <c r="H86" s="2"/>
      <c r="I86" s="1"/>
    </row>
    <row r="87">
      <c r="A87" s="1" t="s">
        <v>170</v>
      </c>
      <c r="B87" s="1" t="s">
        <v>171</v>
      </c>
      <c r="C87" s="1" t="s">
        <v>146</v>
      </c>
      <c r="D87" s="1">
        <v>2.4</v>
      </c>
      <c r="E87" s="1" t="s">
        <v>136</v>
      </c>
      <c r="F87" s="1">
        <v>0.06397</v>
      </c>
      <c r="G87" s="1">
        <v>0.2362</v>
      </c>
      <c r="H87" s="2">
        <v>7.1685E-6</v>
      </c>
      <c r="I87" s="1">
        <v>230.0</v>
      </c>
    </row>
    <row r="88">
      <c r="A88" s="1" t="s">
        <v>172</v>
      </c>
      <c r="B88" s="1" t="s">
        <v>171</v>
      </c>
      <c r="C88" s="1" t="s">
        <v>146</v>
      </c>
      <c r="D88" s="1">
        <v>2.4</v>
      </c>
      <c r="E88" s="1" t="s">
        <v>136</v>
      </c>
      <c r="F88" s="1">
        <v>0.06397</v>
      </c>
      <c r="G88" s="1">
        <v>0.2362</v>
      </c>
      <c r="H88" s="2">
        <v>7.1685E-6</v>
      </c>
      <c r="I88" s="1">
        <v>230.0</v>
      </c>
    </row>
    <row r="89">
      <c r="A89" s="1" t="s">
        <v>173</v>
      </c>
      <c r="B89" s="1" t="s">
        <v>135</v>
      </c>
      <c r="C89" s="1" t="s">
        <v>149</v>
      </c>
      <c r="D89" s="1">
        <v>58.0</v>
      </c>
      <c r="E89" s="1" t="s">
        <v>140</v>
      </c>
      <c r="F89" s="1">
        <v>0.044155</v>
      </c>
      <c r="G89" s="1">
        <v>0.133679</v>
      </c>
      <c r="H89" s="2">
        <v>1.3746E-5</v>
      </c>
      <c r="I89" s="1">
        <v>230.0</v>
      </c>
    </row>
    <row r="90">
      <c r="A90" s="1" t="s">
        <v>174</v>
      </c>
      <c r="B90" s="1" t="s">
        <v>135</v>
      </c>
      <c r="C90" s="1" t="s">
        <v>149</v>
      </c>
      <c r="D90" s="1">
        <v>58.0</v>
      </c>
      <c r="E90" s="1" t="s">
        <v>140</v>
      </c>
      <c r="F90" s="1">
        <v>0.044155</v>
      </c>
      <c r="G90" s="1">
        <v>0.133679</v>
      </c>
      <c r="H90" s="2">
        <v>1.3746E-5</v>
      </c>
      <c r="I90" s="1">
        <v>230.0</v>
      </c>
    </row>
    <row r="91">
      <c r="A91" s="1" t="s">
        <v>175</v>
      </c>
      <c r="B91" s="1" t="s">
        <v>124</v>
      </c>
      <c r="C91" s="1" t="s">
        <v>176</v>
      </c>
      <c r="D91" s="1">
        <v>25.2</v>
      </c>
      <c r="E91" s="1" t="s">
        <v>177</v>
      </c>
      <c r="F91" s="1">
        <v>0.049545</v>
      </c>
      <c r="G91" s="1">
        <v>0.140636</v>
      </c>
      <c r="H91" s="2">
        <v>1.3141E-5</v>
      </c>
      <c r="I91" s="1">
        <v>230.0</v>
      </c>
    </row>
    <row r="92">
      <c r="A92" s="1" t="s">
        <v>178</v>
      </c>
      <c r="B92" s="1" t="s">
        <v>124</v>
      </c>
      <c r="C92" s="1" t="s">
        <v>176</v>
      </c>
      <c r="D92" s="1">
        <v>25.2</v>
      </c>
      <c r="E92" s="1" t="s">
        <v>177</v>
      </c>
      <c r="F92" s="1">
        <v>0.049545</v>
      </c>
      <c r="G92" s="1">
        <v>0.140636</v>
      </c>
      <c r="H92" s="2">
        <v>1.3141E-5</v>
      </c>
      <c r="I92" s="1">
        <v>230.0</v>
      </c>
    </row>
    <row r="93">
      <c r="A93" s="1" t="s">
        <v>179</v>
      </c>
      <c r="B93" s="1" t="s">
        <v>176</v>
      </c>
      <c r="C93" s="1" t="s">
        <v>180</v>
      </c>
      <c r="D93" s="1">
        <v>32.0</v>
      </c>
      <c r="E93" s="1" t="s">
        <v>177</v>
      </c>
      <c r="F93" s="1"/>
      <c r="G93" s="1"/>
      <c r="H93" s="2"/>
      <c r="I93" s="1"/>
    </row>
    <row r="94">
      <c r="A94" s="1" t="s">
        <v>181</v>
      </c>
      <c r="B94" s="1" t="s">
        <v>176</v>
      </c>
      <c r="C94" s="1" t="s">
        <v>180</v>
      </c>
      <c r="D94" s="1">
        <v>32.0</v>
      </c>
      <c r="E94" s="1" t="s">
        <v>177</v>
      </c>
      <c r="F94" s="1"/>
      <c r="G94" s="1"/>
      <c r="H94" s="2"/>
      <c r="I94" s="1"/>
    </row>
    <row r="95">
      <c r="A95" s="1" t="s">
        <v>182</v>
      </c>
      <c r="B95" s="1" t="s">
        <v>180</v>
      </c>
      <c r="C95" s="1" t="s">
        <v>183</v>
      </c>
      <c r="D95" s="1">
        <v>10.75</v>
      </c>
      <c r="E95" s="1" t="s">
        <v>177</v>
      </c>
      <c r="F95" s="1">
        <v>0.049545</v>
      </c>
      <c r="G95" s="1">
        <v>0.140636</v>
      </c>
      <c r="H95" s="2">
        <v>1.3141E-5</v>
      </c>
      <c r="I95" s="1">
        <v>230.0</v>
      </c>
    </row>
    <row r="96">
      <c r="A96" s="1" t="s">
        <v>184</v>
      </c>
      <c r="B96" s="1" t="s">
        <v>180</v>
      </c>
      <c r="C96" s="1" t="s">
        <v>183</v>
      </c>
      <c r="D96" s="1">
        <v>10.75</v>
      </c>
      <c r="E96" s="1" t="s">
        <v>177</v>
      </c>
      <c r="F96" s="1">
        <v>0.049545</v>
      </c>
      <c r="G96" s="1">
        <v>0.140636</v>
      </c>
      <c r="H96" s="2">
        <v>1.3141E-5</v>
      </c>
      <c r="I96" s="1">
        <v>230.0</v>
      </c>
    </row>
    <row r="97">
      <c r="A97" s="1" t="s">
        <v>185</v>
      </c>
      <c r="B97" s="1" t="s">
        <v>155</v>
      </c>
      <c r="C97" s="1" t="s">
        <v>183</v>
      </c>
      <c r="D97" s="1">
        <v>10.75</v>
      </c>
      <c r="E97" s="1" t="s">
        <v>177</v>
      </c>
      <c r="F97" s="1">
        <v>0.049545</v>
      </c>
      <c r="G97" s="1">
        <v>0.140636</v>
      </c>
      <c r="H97" s="2">
        <v>1.3141E-5</v>
      </c>
      <c r="I97" s="1">
        <v>230.0</v>
      </c>
    </row>
    <row r="98">
      <c r="A98" s="1" t="s">
        <v>186</v>
      </c>
      <c r="B98" s="1" t="s">
        <v>155</v>
      </c>
      <c r="C98" s="1" t="s">
        <v>183</v>
      </c>
      <c r="D98" s="1">
        <v>10.75</v>
      </c>
      <c r="E98" s="1" t="s">
        <v>177</v>
      </c>
      <c r="F98" s="1">
        <v>0.049545</v>
      </c>
      <c r="G98" s="1">
        <v>0.140636</v>
      </c>
      <c r="H98" s="2">
        <v>1.3141E-5</v>
      </c>
      <c r="I98" s="1">
        <v>230.0</v>
      </c>
    </row>
    <row r="99">
      <c r="A99" s="1" t="s">
        <v>187</v>
      </c>
      <c r="B99" s="1" t="s">
        <v>127</v>
      </c>
      <c r="C99" s="1" t="s">
        <v>188</v>
      </c>
      <c r="D99" s="3">
        <v>75.0</v>
      </c>
      <c r="E99" s="1" t="s">
        <v>177</v>
      </c>
      <c r="F99" s="1">
        <v>0.049545</v>
      </c>
      <c r="G99" s="1">
        <v>0.140636</v>
      </c>
      <c r="H99" s="2">
        <v>1.3141E-5</v>
      </c>
      <c r="I99" s="1">
        <v>230.0</v>
      </c>
    </row>
    <row r="100">
      <c r="A100" s="1" t="s">
        <v>189</v>
      </c>
      <c r="B100" s="1" t="s">
        <v>127</v>
      </c>
      <c r="C100" s="1" t="s">
        <v>188</v>
      </c>
      <c r="D100" s="3">
        <v>75.0</v>
      </c>
      <c r="E100" s="1" t="s">
        <v>177</v>
      </c>
      <c r="F100" s="1">
        <v>0.049545</v>
      </c>
      <c r="G100" s="1">
        <v>0.140636</v>
      </c>
      <c r="H100" s="2">
        <v>1.3141E-5</v>
      </c>
      <c r="I100" s="1">
        <v>230.0</v>
      </c>
    </row>
    <row r="101">
      <c r="A101" s="1" t="s">
        <v>190</v>
      </c>
      <c r="B101" s="1" t="s">
        <v>188</v>
      </c>
      <c r="C101" s="1" t="s">
        <v>191</v>
      </c>
      <c r="D101" s="3">
        <f t="shared" ref="D101:D102" si="1">144-75</f>
        <v>69</v>
      </c>
      <c r="E101" s="1" t="s">
        <v>177</v>
      </c>
      <c r="F101" s="1"/>
      <c r="G101" s="1"/>
      <c r="H101" s="2"/>
      <c r="I101" s="1"/>
    </row>
    <row r="102">
      <c r="A102" s="1" t="s">
        <v>192</v>
      </c>
      <c r="B102" s="1" t="s">
        <v>188</v>
      </c>
      <c r="C102" s="1" t="s">
        <v>191</v>
      </c>
      <c r="D102" s="3">
        <f t="shared" si="1"/>
        <v>69</v>
      </c>
      <c r="E102" s="1" t="s">
        <v>177</v>
      </c>
      <c r="F102" s="1"/>
      <c r="G102" s="1"/>
      <c r="H102" s="2"/>
      <c r="I102" s="1"/>
    </row>
    <row r="103">
      <c r="A103" s="1" t="s">
        <v>193</v>
      </c>
      <c r="B103" s="1" t="s">
        <v>194</v>
      </c>
      <c r="C103" s="1" t="s">
        <v>195</v>
      </c>
      <c r="D103" s="3">
        <v>96.0</v>
      </c>
      <c r="E103" s="1" t="s">
        <v>177</v>
      </c>
      <c r="F103" s="1">
        <v>0.049545</v>
      </c>
      <c r="G103" s="1">
        <v>0.140636</v>
      </c>
      <c r="H103" s="2">
        <v>1.3141E-5</v>
      </c>
      <c r="I103" s="1">
        <v>230.0</v>
      </c>
    </row>
    <row r="104">
      <c r="A104" s="1" t="s">
        <v>196</v>
      </c>
      <c r="B104" s="1" t="s">
        <v>194</v>
      </c>
      <c r="C104" s="1" t="s">
        <v>195</v>
      </c>
      <c r="D104" s="3">
        <v>96.0</v>
      </c>
      <c r="E104" s="1" t="s">
        <v>177</v>
      </c>
      <c r="F104" s="1">
        <v>0.049545</v>
      </c>
      <c r="G104" s="1">
        <v>0.140636</v>
      </c>
      <c r="H104" s="2">
        <v>1.3141E-5</v>
      </c>
      <c r="I104" s="1">
        <v>230.0</v>
      </c>
    </row>
    <row r="105">
      <c r="A105" s="1" t="s">
        <v>197</v>
      </c>
      <c r="B105" s="1" t="s">
        <v>195</v>
      </c>
      <c r="C105" s="1" t="s">
        <v>17</v>
      </c>
      <c r="D105" s="3">
        <f>176.5-96</f>
        <v>80.5</v>
      </c>
      <c r="E105" s="1" t="s">
        <v>177</v>
      </c>
      <c r="F105" s="1"/>
      <c r="G105" s="1"/>
      <c r="H105" s="2"/>
      <c r="I105" s="1"/>
    </row>
    <row r="106">
      <c r="A106" s="1" t="s">
        <v>198</v>
      </c>
      <c r="B106" s="1" t="s">
        <v>195</v>
      </c>
      <c r="C106" s="1" t="s">
        <v>17</v>
      </c>
      <c r="D106" s="3">
        <v>80.5</v>
      </c>
      <c r="E106" s="1" t="s">
        <v>177</v>
      </c>
      <c r="F106" s="1"/>
      <c r="G106" s="1"/>
      <c r="H106" s="2"/>
      <c r="I106" s="1"/>
    </row>
    <row r="107">
      <c r="A107" s="1" t="s">
        <v>199</v>
      </c>
      <c r="B107" s="1" t="s">
        <v>200</v>
      </c>
      <c r="C107" s="1" t="s">
        <v>201</v>
      </c>
      <c r="D107" s="1">
        <v>106.0</v>
      </c>
      <c r="E107" s="1" t="s">
        <v>177</v>
      </c>
      <c r="F107" s="1">
        <v>0.049545</v>
      </c>
      <c r="G107" s="1">
        <v>0.140636</v>
      </c>
      <c r="H107" s="2">
        <v>1.3141E-5</v>
      </c>
      <c r="I107" s="1">
        <v>230.0</v>
      </c>
    </row>
    <row r="108">
      <c r="A108" s="1" t="s">
        <v>202</v>
      </c>
      <c r="B108" s="1" t="s">
        <v>200</v>
      </c>
      <c r="C108" s="1" t="s">
        <v>201</v>
      </c>
      <c r="D108" s="1">
        <v>106.0</v>
      </c>
      <c r="E108" s="1" t="s">
        <v>177</v>
      </c>
      <c r="F108" s="1">
        <v>0.049545</v>
      </c>
      <c r="G108" s="1">
        <v>0.140636</v>
      </c>
      <c r="H108" s="2">
        <v>1.3141E-5</v>
      </c>
      <c r="I108" s="1">
        <v>230.0</v>
      </c>
    </row>
    <row r="109">
      <c r="A109" s="1" t="s">
        <v>203</v>
      </c>
      <c r="B109" s="1" t="s">
        <v>204</v>
      </c>
      <c r="C109" s="1" t="s">
        <v>200</v>
      </c>
      <c r="D109" s="1">
        <v>11.0</v>
      </c>
      <c r="E109" s="1" t="s">
        <v>177</v>
      </c>
      <c r="F109" s="1"/>
      <c r="G109" s="1"/>
      <c r="H109" s="2"/>
      <c r="I109" s="1"/>
    </row>
    <row r="110">
      <c r="A110" s="1" t="s">
        <v>205</v>
      </c>
      <c r="B110" s="1" t="s">
        <v>204</v>
      </c>
      <c r="C110" s="1" t="s">
        <v>200</v>
      </c>
      <c r="D110" s="1">
        <v>11.0</v>
      </c>
      <c r="E110" s="1" t="s">
        <v>177</v>
      </c>
      <c r="F110" s="1"/>
      <c r="G110" s="1"/>
      <c r="H110" s="2"/>
      <c r="I110" s="1"/>
    </row>
    <row r="111">
      <c r="A111" s="1" t="s">
        <v>206</v>
      </c>
      <c r="B111" s="1" t="s">
        <v>204</v>
      </c>
      <c r="C111" s="1" t="s">
        <v>200</v>
      </c>
      <c r="D111" s="1">
        <v>11.0</v>
      </c>
      <c r="E111" s="1" t="s">
        <v>177</v>
      </c>
      <c r="F111" s="1"/>
      <c r="G111" s="1"/>
      <c r="H111" s="2"/>
      <c r="I111" s="1"/>
    </row>
    <row r="112">
      <c r="A112" s="1" t="s">
        <v>207</v>
      </c>
      <c r="B112" s="1" t="s">
        <v>204</v>
      </c>
      <c r="C112" s="1" t="s">
        <v>200</v>
      </c>
      <c r="D112" s="1">
        <v>11.0</v>
      </c>
      <c r="E112" s="1" t="s">
        <v>177</v>
      </c>
      <c r="F112" s="1"/>
      <c r="G112" s="1"/>
      <c r="H112" s="2"/>
      <c r="I112" s="1"/>
    </row>
    <row r="113">
      <c r="A113" s="1" t="s">
        <v>208</v>
      </c>
      <c r="B113" s="1" t="s">
        <v>191</v>
      </c>
      <c r="C113" s="1" t="s">
        <v>204</v>
      </c>
      <c r="D113" s="1">
        <v>72.5</v>
      </c>
      <c r="E113" s="1" t="s">
        <v>177</v>
      </c>
      <c r="F113" s="1">
        <v>0.049545</v>
      </c>
      <c r="G113" s="1">
        <v>0.140636</v>
      </c>
      <c r="H113" s="2">
        <v>1.3141E-5</v>
      </c>
      <c r="I113" s="1">
        <v>230.0</v>
      </c>
    </row>
    <row r="114">
      <c r="A114" s="1" t="s">
        <v>209</v>
      </c>
      <c r="B114" s="1" t="s">
        <v>191</v>
      </c>
      <c r="C114" s="1" t="s">
        <v>204</v>
      </c>
      <c r="D114" s="1">
        <v>72.5</v>
      </c>
      <c r="E114" s="1" t="s">
        <v>177</v>
      </c>
      <c r="F114" s="1">
        <v>0.049545</v>
      </c>
      <c r="G114" s="1">
        <v>0.140636</v>
      </c>
      <c r="H114" s="2">
        <v>1.3141E-5</v>
      </c>
      <c r="I114" s="1">
        <v>230.0</v>
      </c>
    </row>
    <row r="115">
      <c r="A115" s="1" t="s">
        <v>210</v>
      </c>
      <c r="B115" s="1" t="s">
        <v>120</v>
      </c>
      <c r="C115" s="1" t="s">
        <v>211</v>
      </c>
      <c r="D115" s="1">
        <v>55.0</v>
      </c>
      <c r="E115" s="1" t="s">
        <v>177</v>
      </c>
      <c r="F115" s="1">
        <v>0.049545</v>
      </c>
      <c r="G115" s="1">
        <v>0.140636</v>
      </c>
      <c r="H115" s="2">
        <v>1.3141E-5</v>
      </c>
      <c r="I115" s="1">
        <v>230.0</v>
      </c>
    </row>
    <row r="116">
      <c r="A116" s="1" t="s">
        <v>212</v>
      </c>
      <c r="B116" s="1" t="s">
        <v>120</v>
      </c>
      <c r="C116" s="1" t="s">
        <v>211</v>
      </c>
      <c r="D116" s="1">
        <v>55.0</v>
      </c>
      <c r="E116" s="1" t="s">
        <v>177</v>
      </c>
      <c r="F116" s="1">
        <v>0.049545</v>
      </c>
      <c r="G116" s="1">
        <v>0.140636</v>
      </c>
      <c r="H116" s="2">
        <v>1.3141E-5</v>
      </c>
      <c r="I116" s="1">
        <v>230.0</v>
      </c>
    </row>
    <row r="117">
      <c r="A117" s="1" t="s">
        <v>213</v>
      </c>
      <c r="B117" s="1" t="s">
        <v>211</v>
      </c>
      <c r="C117" s="1" t="s">
        <v>191</v>
      </c>
      <c r="D117" s="1">
        <v>38.0</v>
      </c>
      <c r="E117" s="1" t="s">
        <v>177</v>
      </c>
      <c r="F117" s="1">
        <v>0.049545</v>
      </c>
      <c r="G117" s="1">
        <v>0.140636</v>
      </c>
      <c r="H117" s="2">
        <v>1.3141E-5</v>
      </c>
      <c r="I117" s="1">
        <v>230.0</v>
      </c>
    </row>
    <row r="118">
      <c r="A118" s="1" t="s">
        <v>214</v>
      </c>
      <c r="B118" s="1" t="s">
        <v>211</v>
      </c>
      <c r="C118" s="1" t="s">
        <v>191</v>
      </c>
      <c r="D118" s="1">
        <v>38.0</v>
      </c>
      <c r="E118" s="1" t="s">
        <v>177</v>
      </c>
      <c r="F118" s="1">
        <v>0.049545</v>
      </c>
      <c r="G118" s="1">
        <v>0.140636</v>
      </c>
      <c r="H118" s="2">
        <v>1.3141E-5</v>
      </c>
      <c r="I118" s="1">
        <v>230.0</v>
      </c>
    </row>
    <row r="119">
      <c r="A119" s="1" t="s">
        <v>215</v>
      </c>
      <c r="B119" s="1" t="s">
        <v>216</v>
      </c>
      <c r="C119" s="1" t="s">
        <v>217</v>
      </c>
      <c r="D119" s="1">
        <v>33.5</v>
      </c>
      <c r="E119" s="1" t="s">
        <v>140</v>
      </c>
      <c r="F119" s="1">
        <v>0.044155</v>
      </c>
      <c r="G119" s="1">
        <v>0.133679</v>
      </c>
      <c r="H119" s="2">
        <v>1.3746E-5</v>
      </c>
      <c r="I119" s="1">
        <v>230.0</v>
      </c>
    </row>
    <row r="120">
      <c r="A120" s="1" t="s">
        <v>218</v>
      </c>
      <c r="B120" s="1" t="s">
        <v>216</v>
      </c>
      <c r="C120" s="1" t="s">
        <v>217</v>
      </c>
      <c r="D120" s="1">
        <v>33.5</v>
      </c>
      <c r="E120" s="1" t="s">
        <v>140</v>
      </c>
      <c r="F120" s="1">
        <v>0.044155</v>
      </c>
      <c r="G120" s="1">
        <v>0.133679</v>
      </c>
      <c r="H120" s="2">
        <v>1.3746E-5</v>
      </c>
      <c r="I120" s="1">
        <v>230.0</v>
      </c>
    </row>
    <row r="121">
      <c r="A121" s="1" t="s">
        <v>219</v>
      </c>
      <c r="B121" s="1" t="s">
        <v>217</v>
      </c>
      <c r="C121" s="1" t="s">
        <v>220</v>
      </c>
      <c r="D121" s="3">
        <v>95.0</v>
      </c>
      <c r="E121" s="7" t="s">
        <v>140</v>
      </c>
      <c r="F121" s="1">
        <v>0.044155</v>
      </c>
      <c r="G121" s="1">
        <v>0.133679</v>
      </c>
      <c r="H121" s="2">
        <v>1.3746E-5</v>
      </c>
      <c r="I121" s="1">
        <v>230.0</v>
      </c>
    </row>
    <row r="122">
      <c r="A122" s="1" t="s">
        <v>221</v>
      </c>
      <c r="B122" s="1" t="s">
        <v>217</v>
      </c>
      <c r="C122" s="1" t="s">
        <v>220</v>
      </c>
      <c r="D122" s="3">
        <v>95.0</v>
      </c>
      <c r="E122" s="8" t="s">
        <v>140</v>
      </c>
      <c r="F122" s="1">
        <v>0.044155</v>
      </c>
      <c r="G122" s="1">
        <v>0.133679</v>
      </c>
      <c r="H122" s="2">
        <v>1.3746E-5</v>
      </c>
      <c r="I122" s="1">
        <v>230.0</v>
      </c>
    </row>
    <row r="123">
      <c r="A123" s="1" t="s">
        <v>222</v>
      </c>
      <c r="B123" s="1" t="s">
        <v>220</v>
      </c>
      <c r="C123" s="1" t="s">
        <v>135</v>
      </c>
      <c r="D123" s="3">
        <v>58.5</v>
      </c>
      <c r="E123" s="8" t="s">
        <v>140</v>
      </c>
      <c r="F123" s="1"/>
      <c r="G123" s="1"/>
      <c r="H123" s="2"/>
      <c r="I123" s="1"/>
    </row>
    <row r="124">
      <c r="A124" s="1" t="s">
        <v>223</v>
      </c>
      <c r="B124" s="1" t="s">
        <v>220</v>
      </c>
      <c r="C124" s="1" t="s">
        <v>135</v>
      </c>
      <c r="D124" s="1">
        <v>58.5</v>
      </c>
      <c r="E124" s="8" t="s">
        <v>140</v>
      </c>
      <c r="F124" s="1"/>
      <c r="G124" s="1"/>
      <c r="H124" s="2"/>
      <c r="I124" s="1"/>
    </row>
    <row r="125">
      <c r="A125" s="1" t="s">
        <v>224</v>
      </c>
      <c r="B125" s="1" t="s">
        <v>180</v>
      </c>
      <c r="C125" s="1" t="s">
        <v>225</v>
      </c>
      <c r="D125" s="1">
        <f t="shared" ref="D125:D126" si="2">3.5+4</f>
        <v>7.5</v>
      </c>
      <c r="E125" s="8" t="s">
        <v>140</v>
      </c>
      <c r="F125" s="1">
        <v>0.044155</v>
      </c>
      <c r="G125" s="1">
        <v>0.133679</v>
      </c>
      <c r="H125" s="2">
        <v>1.3746E-5</v>
      </c>
      <c r="I125" s="1">
        <v>230.0</v>
      </c>
    </row>
    <row r="126">
      <c r="A126" s="1" t="s">
        <v>226</v>
      </c>
      <c r="B126" s="1" t="s">
        <v>180</v>
      </c>
      <c r="C126" s="1" t="s">
        <v>225</v>
      </c>
      <c r="D126" s="1">
        <f t="shared" si="2"/>
        <v>7.5</v>
      </c>
      <c r="E126" s="8" t="s">
        <v>140</v>
      </c>
      <c r="F126" s="1">
        <v>0.044155</v>
      </c>
      <c r="G126" s="1">
        <v>0.133679</v>
      </c>
      <c r="H126" s="2">
        <v>1.3746E-5</v>
      </c>
      <c r="I126" s="1">
        <v>230.0</v>
      </c>
    </row>
    <row r="127">
      <c r="A127" s="1" t="s">
        <v>227</v>
      </c>
      <c r="B127" s="1" t="s">
        <v>228</v>
      </c>
      <c r="C127" s="1" t="s">
        <v>229</v>
      </c>
      <c r="D127" s="1">
        <v>11.0</v>
      </c>
      <c r="E127" s="8" t="s">
        <v>140</v>
      </c>
      <c r="F127" s="1">
        <v>0.044155</v>
      </c>
      <c r="G127" s="1">
        <v>0.133679</v>
      </c>
      <c r="H127" s="2">
        <v>1.3746E-5</v>
      </c>
      <c r="I127" s="1">
        <v>230.0</v>
      </c>
    </row>
    <row r="128">
      <c r="A128" s="1" t="s">
        <v>230</v>
      </c>
      <c r="B128" s="1" t="s">
        <v>228</v>
      </c>
      <c r="C128" s="1" t="s">
        <v>229</v>
      </c>
      <c r="D128" s="1">
        <v>11.0</v>
      </c>
      <c r="E128" s="8" t="s">
        <v>140</v>
      </c>
      <c r="F128" s="1">
        <v>0.044155</v>
      </c>
      <c r="G128" s="1">
        <v>0.133679</v>
      </c>
      <c r="H128" s="2">
        <v>1.3746E-5</v>
      </c>
      <c r="I128" s="1">
        <v>230.0</v>
      </c>
    </row>
    <row r="129">
      <c r="A129" s="1" t="s">
        <v>231</v>
      </c>
      <c r="B129" s="1" t="s">
        <v>232</v>
      </c>
      <c r="C129" s="1" t="s">
        <v>233</v>
      </c>
      <c r="D129" s="1">
        <v>62.5</v>
      </c>
      <c r="E129" s="8" t="s">
        <v>140</v>
      </c>
      <c r="F129" s="1">
        <v>0.044155</v>
      </c>
      <c r="G129" s="1">
        <v>0.133679</v>
      </c>
      <c r="H129" s="2">
        <v>1.3746E-5</v>
      </c>
      <c r="I129" s="1">
        <v>230.0</v>
      </c>
    </row>
    <row r="130">
      <c r="A130" s="1" t="s">
        <v>234</v>
      </c>
      <c r="B130" s="1" t="s">
        <v>232</v>
      </c>
      <c r="C130" s="1" t="s">
        <v>233</v>
      </c>
      <c r="D130" s="1">
        <v>62.5</v>
      </c>
      <c r="E130" s="8" t="s">
        <v>140</v>
      </c>
      <c r="F130" s="1">
        <v>0.044155</v>
      </c>
      <c r="G130" s="1">
        <v>0.133679</v>
      </c>
      <c r="H130" s="2">
        <v>1.3746E-5</v>
      </c>
      <c r="I130" s="1">
        <v>230.0</v>
      </c>
    </row>
    <row r="131">
      <c r="A131" s="4" t="s">
        <v>235</v>
      </c>
      <c r="B131" s="4" t="s">
        <v>17</v>
      </c>
      <c r="C131" s="4" t="s">
        <v>236</v>
      </c>
      <c r="D131" s="4">
        <v>6.0</v>
      </c>
      <c r="E131" s="1" t="s">
        <v>177</v>
      </c>
      <c r="F131" s="9">
        <v>0.049545</v>
      </c>
      <c r="G131" s="9">
        <v>0.140636</v>
      </c>
      <c r="H131" s="10">
        <v>1.3141E-5</v>
      </c>
      <c r="I131" s="9">
        <v>230.0</v>
      </c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>
      <c r="A132" s="4" t="s">
        <v>237</v>
      </c>
      <c r="B132" s="4" t="s">
        <v>17</v>
      </c>
      <c r="C132" s="4" t="s">
        <v>236</v>
      </c>
      <c r="D132" s="4">
        <v>6.0</v>
      </c>
      <c r="E132" s="1" t="s">
        <v>177</v>
      </c>
      <c r="F132" s="9">
        <v>0.049545</v>
      </c>
      <c r="G132" s="9">
        <v>0.140636</v>
      </c>
      <c r="H132" s="10">
        <v>1.3141E-5</v>
      </c>
      <c r="I132" s="9">
        <v>230.0</v>
      </c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>
      <c r="A133" s="1" t="s">
        <v>238</v>
      </c>
      <c r="B133" s="1" t="s">
        <v>146</v>
      </c>
      <c r="C133" s="1" t="s">
        <v>228</v>
      </c>
      <c r="D133" s="1">
        <v>1.65</v>
      </c>
      <c r="E133" s="8" t="s">
        <v>140</v>
      </c>
      <c r="F133" s="1">
        <v>0.044155</v>
      </c>
      <c r="G133" s="1">
        <v>0.133679</v>
      </c>
      <c r="H133" s="2">
        <v>1.3746E-5</v>
      </c>
      <c r="I133" s="1">
        <v>230.0</v>
      </c>
    </row>
    <row r="134">
      <c r="A134" s="1" t="s">
        <v>239</v>
      </c>
      <c r="B134" s="1" t="s">
        <v>146</v>
      </c>
      <c r="C134" s="1" t="s">
        <v>228</v>
      </c>
      <c r="D134" s="1">
        <v>1.65</v>
      </c>
      <c r="E134" s="8" t="s">
        <v>140</v>
      </c>
      <c r="F134" s="1">
        <v>0.044155</v>
      </c>
      <c r="G134" s="1">
        <v>0.133679</v>
      </c>
      <c r="H134" s="2">
        <v>1.3746E-5</v>
      </c>
      <c r="I134" s="1">
        <v>230.0</v>
      </c>
    </row>
    <row r="135">
      <c r="A135" s="4" t="s">
        <v>240</v>
      </c>
      <c r="B135" s="4" t="s">
        <v>17</v>
      </c>
      <c r="C135" s="4" t="s">
        <v>120</v>
      </c>
      <c r="D135" s="4">
        <v>12.8</v>
      </c>
      <c r="E135" s="12" t="s">
        <v>241</v>
      </c>
      <c r="F135" s="1">
        <v>0.022077</v>
      </c>
      <c r="G135" s="1">
        <v>0.078468</v>
      </c>
      <c r="H135" s="2">
        <v>2.7491E-5</v>
      </c>
      <c r="I135" s="1">
        <v>230.0</v>
      </c>
    </row>
    <row r="136">
      <c r="A136" s="4" t="s">
        <v>242</v>
      </c>
      <c r="B136" s="4" t="s">
        <v>17</v>
      </c>
      <c r="C136" s="4" t="s">
        <v>120</v>
      </c>
      <c r="D136" s="4">
        <v>12.8</v>
      </c>
      <c r="E136" s="12" t="s">
        <v>241</v>
      </c>
      <c r="F136" s="1">
        <v>0.022077</v>
      </c>
      <c r="G136" s="1">
        <v>0.078468</v>
      </c>
      <c r="H136" s="2">
        <v>2.7491E-5</v>
      </c>
      <c r="I136" s="1">
        <v>230.0</v>
      </c>
    </row>
    <row r="137">
      <c r="A137" s="1" t="s">
        <v>243</v>
      </c>
      <c r="B137" s="1" t="s">
        <v>244</v>
      </c>
      <c r="C137" s="1" t="s">
        <v>245</v>
      </c>
      <c r="D137" s="1">
        <v>17.5</v>
      </c>
      <c r="E137" s="8" t="s">
        <v>140</v>
      </c>
      <c r="F137" s="1">
        <v>0.044155</v>
      </c>
      <c r="G137" s="1">
        <v>0.133679</v>
      </c>
      <c r="H137" s="2">
        <v>1.3746E-5</v>
      </c>
      <c r="I137" s="1">
        <v>230.0</v>
      </c>
    </row>
    <row r="138">
      <c r="A138" s="1" t="s">
        <v>246</v>
      </c>
      <c r="B138" s="1" t="s">
        <v>244</v>
      </c>
      <c r="C138" s="1" t="s">
        <v>245</v>
      </c>
      <c r="D138" s="1">
        <v>17.5</v>
      </c>
      <c r="E138" s="8" t="s">
        <v>140</v>
      </c>
      <c r="F138" s="1">
        <v>0.044155</v>
      </c>
      <c r="G138" s="1">
        <v>0.133679</v>
      </c>
      <c r="H138" s="2">
        <v>1.3746E-5</v>
      </c>
      <c r="I138" s="1">
        <v>230.0</v>
      </c>
    </row>
    <row r="139">
      <c r="A139" s="1" t="s">
        <v>247</v>
      </c>
      <c r="B139" s="1" t="s">
        <v>248</v>
      </c>
      <c r="C139" s="1" t="s">
        <v>249</v>
      </c>
      <c r="D139" s="1">
        <v>46.5</v>
      </c>
      <c r="E139" s="8" t="s">
        <v>140</v>
      </c>
      <c r="F139" s="1">
        <v>0.035324</v>
      </c>
      <c r="G139" s="1">
        <v>0.133679</v>
      </c>
      <c r="H139" s="2">
        <v>1.3746E-5</v>
      </c>
      <c r="I139" s="1">
        <v>230.0</v>
      </c>
    </row>
    <row r="140">
      <c r="A140" s="1" t="s">
        <v>250</v>
      </c>
      <c r="B140" s="1" t="s">
        <v>248</v>
      </c>
      <c r="C140" s="1" t="s">
        <v>249</v>
      </c>
      <c r="D140" s="1">
        <v>46.5</v>
      </c>
      <c r="E140" s="8" t="s">
        <v>140</v>
      </c>
      <c r="F140" s="1">
        <v>0.035324</v>
      </c>
      <c r="G140" s="1">
        <v>0.133679</v>
      </c>
      <c r="H140" s="2">
        <v>1.3746E-5</v>
      </c>
      <c r="I140" s="1">
        <v>230.0</v>
      </c>
    </row>
    <row r="141">
      <c r="A141" s="1" t="s">
        <v>251</v>
      </c>
      <c r="B141" s="1" t="s">
        <v>252</v>
      </c>
      <c r="C141" s="1" t="s">
        <v>17</v>
      </c>
      <c r="D141" s="3">
        <f t="shared" ref="D141:D142" si="3">79-12.8</f>
        <v>66.2</v>
      </c>
      <c r="E141" s="8" t="s">
        <v>140</v>
      </c>
      <c r="F141" s="1">
        <v>0.044155</v>
      </c>
      <c r="G141" s="1">
        <v>0.133679</v>
      </c>
      <c r="H141" s="2">
        <v>1.3746E-5</v>
      </c>
      <c r="I141" s="1">
        <v>230.0</v>
      </c>
    </row>
    <row r="142">
      <c r="A142" s="1" t="s">
        <v>253</v>
      </c>
      <c r="B142" s="1" t="s">
        <v>252</v>
      </c>
      <c r="C142" s="1" t="s">
        <v>17</v>
      </c>
      <c r="D142" s="3">
        <f t="shared" si="3"/>
        <v>66.2</v>
      </c>
      <c r="E142" s="8" t="s">
        <v>140</v>
      </c>
      <c r="F142" s="1">
        <v>0.044155</v>
      </c>
      <c r="G142" s="1">
        <v>0.133679</v>
      </c>
      <c r="H142" s="2">
        <v>1.3746E-5</v>
      </c>
      <c r="I142" s="1">
        <v>230.0</v>
      </c>
    </row>
    <row r="143">
      <c r="A143" s="1" t="s">
        <v>254</v>
      </c>
      <c r="B143" s="1" t="s">
        <v>255</v>
      </c>
      <c r="C143" s="1" t="s">
        <v>131</v>
      </c>
      <c r="D143" s="1">
        <v>28.35</v>
      </c>
      <c r="E143" s="12" t="s">
        <v>241</v>
      </c>
      <c r="F143" s="1">
        <v>0.022077</v>
      </c>
      <c r="G143" s="1">
        <v>0.078468</v>
      </c>
      <c r="H143" s="2">
        <v>2.7491E-5</v>
      </c>
      <c r="I143" s="1">
        <v>230.0</v>
      </c>
    </row>
    <row r="144">
      <c r="A144" s="1" t="s">
        <v>256</v>
      </c>
      <c r="B144" s="1" t="s">
        <v>255</v>
      </c>
      <c r="C144" s="1" t="s">
        <v>131</v>
      </c>
      <c r="D144" s="1">
        <v>28.35</v>
      </c>
      <c r="E144" s="12" t="s">
        <v>241</v>
      </c>
      <c r="F144" s="1">
        <v>0.022077</v>
      </c>
      <c r="G144" s="1">
        <v>0.078468</v>
      </c>
      <c r="H144" s="2">
        <v>2.7491E-5</v>
      </c>
      <c r="I144" s="1">
        <v>230.0</v>
      </c>
    </row>
    <row r="145">
      <c r="A145" s="1" t="s">
        <v>257</v>
      </c>
      <c r="B145" s="1" t="s">
        <v>258</v>
      </c>
      <c r="C145" s="1" t="s">
        <v>194</v>
      </c>
      <c r="D145" s="1">
        <v>24.0</v>
      </c>
      <c r="E145" s="8" t="s">
        <v>140</v>
      </c>
      <c r="F145" s="1">
        <v>0.044155</v>
      </c>
      <c r="G145" s="1">
        <v>0.133679</v>
      </c>
      <c r="H145" s="2">
        <v>1.3746E-5</v>
      </c>
      <c r="I145" s="1">
        <v>230.0</v>
      </c>
    </row>
    <row r="146">
      <c r="A146" s="1" t="s">
        <v>259</v>
      </c>
      <c r="B146" s="1" t="s">
        <v>258</v>
      </c>
      <c r="C146" s="1" t="s">
        <v>194</v>
      </c>
      <c r="D146" s="1">
        <v>24.0</v>
      </c>
      <c r="E146" s="8" t="s">
        <v>140</v>
      </c>
      <c r="F146" s="1">
        <v>0.044155</v>
      </c>
      <c r="G146" s="1">
        <v>0.133679</v>
      </c>
      <c r="H146" s="2">
        <v>1.3746E-5</v>
      </c>
      <c r="I146" s="1">
        <v>230.0</v>
      </c>
    </row>
    <row r="147">
      <c r="A147" s="1" t="s">
        <v>260</v>
      </c>
      <c r="B147" s="1" t="s">
        <v>232</v>
      </c>
      <c r="C147" s="1" t="s">
        <v>261</v>
      </c>
      <c r="D147" s="1">
        <v>75.0</v>
      </c>
      <c r="E147" s="8" t="s">
        <v>140</v>
      </c>
      <c r="F147" s="1">
        <v>0.035324</v>
      </c>
      <c r="G147" s="1">
        <v>0.133679</v>
      </c>
      <c r="H147" s="2">
        <v>1.3746E-5</v>
      </c>
      <c r="I147" s="1">
        <v>230.0</v>
      </c>
    </row>
    <row r="148">
      <c r="A148" s="1" t="s">
        <v>262</v>
      </c>
      <c r="B148" s="1" t="s">
        <v>232</v>
      </c>
      <c r="C148" s="1" t="s">
        <v>261</v>
      </c>
      <c r="D148" s="1">
        <v>75.0</v>
      </c>
      <c r="E148" s="8" t="s">
        <v>140</v>
      </c>
      <c r="F148" s="1">
        <v>0.035324</v>
      </c>
      <c r="G148" s="1">
        <v>0.133679</v>
      </c>
      <c r="H148" s="2">
        <v>1.3746E-5</v>
      </c>
      <c r="I148" s="1">
        <v>230.0</v>
      </c>
    </row>
    <row r="149">
      <c r="A149" s="1" t="s">
        <v>263</v>
      </c>
      <c r="B149" s="1" t="s">
        <v>261</v>
      </c>
      <c r="C149" s="1" t="s">
        <v>264</v>
      </c>
      <c r="D149" s="1">
        <v>49.0</v>
      </c>
      <c r="E149" s="8" t="s">
        <v>140</v>
      </c>
      <c r="F149" s="1">
        <v>0.035324</v>
      </c>
      <c r="G149" s="1">
        <v>0.133679</v>
      </c>
      <c r="H149" s="2">
        <v>1.3746E-5</v>
      </c>
      <c r="I149" s="1">
        <v>230.0</v>
      </c>
    </row>
    <row r="150">
      <c r="A150" s="1" t="s">
        <v>265</v>
      </c>
      <c r="B150" s="1" t="s">
        <v>261</v>
      </c>
      <c r="C150" s="1" t="s">
        <v>264</v>
      </c>
      <c r="D150" s="1">
        <v>49.0</v>
      </c>
      <c r="E150" s="8" t="s">
        <v>140</v>
      </c>
      <c r="F150" s="1">
        <v>0.035324</v>
      </c>
      <c r="G150" s="1">
        <v>0.133679</v>
      </c>
      <c r="H150" s="2">
        <v>1.3746E-5</v>
      </c>
      <c r="I150" s="1">
        <v>230.0</v>
      </c>
    </row>
    <row r="151">
      <c r="A151" s="1" t="s">
        <v>266</v>
      </c>
      <c r="B151" s="1" t="s">
        <v>255</v>
      </c>
      <c r="C151" s="1" t="s">
        <v>244</v>
      </c>
      <c r="D151" s="1">
        <v>11.7</v>
      </c>
      <c r="E151" s="12" t="s">
        <v>241</v>
      </c>
      <c r="F151" s="1">
        <v>0.022077</v>
      </c>
      <c r="G151" s="1">
        <v>0.078468</v>
      </c>
      <c r="H151" s="2">
        <v>2.7491E-5</v>
      </c>
      <c r="I151" s="1">
        <v>230.0</v>
      </c>
    </row>
    <row r="152">
      <c r="A152" s="1" t="s">
        <v>267</v>
      </c>
      <c r="B152" s="1" t="s">
        <v>255</v>
      </c>
      <c r="C152" s="1" t="s">
        <v>244</v>
      </c>
      <c r="D152" s="1">
        <v>11.7</v>
      </c>
      <c r="E152" s="12" t="s">
        <v>241</v>
      </c>
      <c r="F152" s="1">
        <v>0.022077</v>
      </c>
      <c r="G152" s="1">
        <v>0.078468</v>
      </c>
      <c r="H152" s="2">
        <v>2.7491E-5</v>
      </c>
      <c r="I152" s="1">
        <v>230.0</v>
      </c>
    </row>
    <row r="153">
      <c r="A153" s="4" t="s">
        <v>268</v>
      </c>
      <c r="B153" s="4" t="s">
        <v>255</v>
      </c>
      <c r="C153" s="4" t="s">
        <v>269</v>
      </c>
      <c r="D153" s="4">
        <v>7.0</v>
      </c>
      <c r="E153" s="8" t="s">
        <v>140</v>
      </c>
      <c r="F153" s="9">
        <v>0.044155</v>
      </c>
      <c r="G153" s="9">
        <v>0.133679</v>
      </c>
      <c r="H153" s="10">
        <v>1.3746E-5</v>
      </c>
      <c r="I153" s="9">
        <v>230.0</v>
      </c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4" t="s">
        <v>270</v>
      </c>
      <c r="B154" s="4" t="s">
        <v>255</v>
      </c>
      <c r="C154" s="4" t="s">
        <v>269</v>
      </c>
      <c r="D154" s="4">
        <v>7.0</v>
      </c>
      <c r="E154" s="8" t="s">
        <v>140</v>
      </c>
      <c r="F154" s="9">
        <v>0.044155</v>
      </c>
      <c r="G154" s="9">
        <v>0.133679</v>
      </c>
      <c r="H154" s="10">
        <v>1.3746E-5</v>
      </c>
      <c r="I154" s="9">
        <v>230.0</v>
      </c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1" t="s">
        <v>271</v>
      </c>
      <c r="B155" s="1" t="s">
        <v>272</v>
      </c>
      <c r="C155" s="1" t="s">
        <v>211</v>
      </c>
      <c r="D155" s="1">
        <v>65.5</v>
      </c>
      <c r="E155" s="8" t="s">
        <v>140</v>
      </c>
      <c r="F155" s="1">
        <v>0.035324</v>
      </c>
      <c r="G155" s="1">
        <v>0.133679</v>
      </c>
      <c r="H155" s="2">
        <v>1.3746E-5</v>
      </c>
      <c r="I155" s="1">
        <v>230.0</v>
      </c>
    </row>
    <row r="156">
      <c r="A156" s="1" t="s">
        <v>273</v>
      </c>
      <c r="B156" s="1" t="s">
        <v>272</v>
      </c>
      <c r="C156" s="1" t="s">
        <v>211</v>
      </c>
      <c r="D156" s="1">
        <v>65.5</v>
      </c>
      <c r="E156" s="8" t="s">
        <v>140</v>
      </c>
      <c r="F156" s="1">
        <v>0.035324</v>
      </c>
      <c r="G156" s="1">
        <v>0.133679</v>
      </c>
      <c r="H156" s="2">
        <v>1.3746E-5</v>
      </c>
      <c r="I156" s="1">
        <v>230.0</v>
      </c>
    </row>
    <row r="157">
      <c r="A157" s="1" t="s">
        <v>274</v>
      </c>
      <c r="B157" s="1" t="s">
        <v>275</v>
      </c>
      <c r="C157" s="1" t="s">
        <v>194</v>
      </c>
      <c r="D157" s="1">
        <v>14.0</v>
      </c>
      <c r="E157" s="8" t="s">
        <v>140</v>
      </c>
      <c r="F157" s="1">
        <v>0.06397</v>
      </c>
      <c r="G157" s="1">
        <v>0.2362</v>
      </c>
      <c r="H157" s="2">
        <v>7.1685E-6</v>
      </c>
      <c r="I157" s="1">
        <v>230.0</v>
      </c>
    </row>
    <row r="158">
      <c r="A158" s="1" t="s">
        <v>276</v>
      </c>
      <c r="B158" s="1" t="s">
        <v>277</v>
      </c>
      <c r="C158" s="1" t="s">
        <v>66</v>
      </c>
      <c r="D158" s="1">
        <v>13.3</v>
      </c>
      <c r="E158" s="8" t="s">
        <v>140</v>
      </c>
      <c r="F158" s="1">
        <v>0.044155</v>
      </c>
      <c r="G158" s="1">
        <v>0.133679</v>
      </c>
      <c r="H158" s="2">
        <v>1.3746E-5</v>
      </c>
      <c r="I158" s="1">
        <v>230.0</v>
      </c>
    </row>
    <row r="159">
      <c r="A159" s="1" t="s">
        <v>278</v>
      </c>
      <c r="B159" s="1" t="s">
        <v>279</v>
      </c>
      <c r="C159" s="1" t="s">
        <v>280</v>
      </c>
      <c r="D159" s="1">
        <v>54.0</v>
      </c>
      <c r="E159" s="8" t="s">
        <v>140</v>
      </c>
      <c r="F159" s="1">
        <v>0.044155</v>
      </c>
      <c r="G159" s="1">
        <v>0.133679</v>
      </c>
      <c r="H159" s="2">
        <v>1.3746E-5</v>
      </c>
      <c r="I159" s="1">
        <v>230.0</v>
      </c>
    </row>
    <row r="160">
      <c r="A160" s="1" t="s">
        <v>281</v>
      </c>
      <c r="B160" s="1" t="s">
        <v>279</v>
      </c>
      <c r="C160" s="1" t="s">
        <v>280</v>
      </c>
      <c r="D160" s="1">
        <v>54.0</v>
      </c>
      <c r="E160" s="8" t="s">
        <v>140</v>
      </c>
      <c r="F160" s="1">
        <v>0.044155</v>
      </c>
      <c r="G160" s="1">
        <v>0.133679</v>
      </c>
      <c r="H160" s="2">
        <v>1.3746E-5</v>
      </c>
      <c r="I160" s="1">
        <v>230.0</v>
      </c>
    </row>
    <row r="161">
      <c r="A161" s="1" t="s">
        <v>282</v>
      </c>
      <c r="B161" s="1" t="s">
        <v>279</v>
      </c>
      <c r="C161" s="1" t="s">
        <v>280</v>
      </c>
      <c r="D161" s="1">
        <v>54.0</v>
      </c>
      <c r="E161" s="8" t="s">
        <v>140</v>
      </c>
      <c r="F161" s="1">
        <v>0.044155</v>
      </c>
      <c r="G161" s="1">
        <v>0.133679</v>
      </c>
      <c r="H161" s="2">
        <v>1.3746E-5</v>
      </c>
      <c r="I161" s="1">
        <v>230.0</v>
      </c>
    </row>
    <row r="162">
      <c r="A162" s="1" t="s">
        <v>283</v>
      </c>
      <c r="B162" s="1" t="s">
        <v>279</v>
      </c>
      <c r="C162" s="1" t="s">
        <v>280</v>
      </c>
      <c r="D162" s="1">
        <v>54.0</v>
      </c>
      <c r="E162" s="8" t="s">
        <v>140</v>
      </c>
      <c r="F162" s="1">
        <v>0.044155</v>
      </c>
      <c r="G162" s="1">
        <v>0.133679</v>
      </c>
      <c r="H162" s="2">
        <v>1.3746E-5</v>
      </c>
      <c r="I162" s="1">
        <v>230.0</v>
      </c>
    </row>
    <row r="163">
      <c r="A163" s="1" t="s">
        <v>284</v>
      </c>
      <c r="B163" s="1" t="s">
        <v>280</v>
      </c>
      <c r="C163" s="1" t="s">
        <v>285</v>
      </c>
      <c r="D163" s="1">
        <v>50.5</v>
      </c>
      <c r="E163" s="8" t="s">
        <v>140</v>
      </c>
      <c r="F163" s="1">
        <v>0.044155</v>
      </c>
      <c r="G163" s="1">
        <v>0.133679</v>
      </c>
      <c r="H163" s="2">
        <v>1.3746E-5</v>
      </c>
      <c r="I163" s="1">
        <v>230.0</v>
      </c>
    </row>
    <row r="164">
      <c r="A164" s="1" t="s">
        <v>286</v>
      </c>
      <c r="B164" s="1" t="s">
        <v>280</v>
      </c>
      <c r="C164" s="1" t="s">
        <v>285</v>
      </c>
      <c r="D164" s="1">
        <v>50.5</v>
      </c>
      <c r="E164" s="8" t="s">
        <v>140</v>
      </c>
      <c r="F164" s="1">
        <v>0.044155</v>
      </c>
      <c r="G164" s="1">
        <v>0.133679</v>
      </c>
      <c r="H164" s="2">
        <v>1.3746E-5</v>
      </c>
      <c r="I164" s="1">
        <v>230.0</v>
      </c>
    </row>
    <row r="165">
      <c r="A165" s="1" t="s">
        <v>287</v>
      </c>
      <c r="B165" s="1" t="s">
        <v>280</v>
      </c>
      <c r="C165" s="1" t="s">
        <v>285</v>
      </c>
      <c r="D165" s="1">
        <v>50.5</v>
      </c>
      <c r="E165" s="8" t="s">
        <v>140</v>
      </c>
      <c r="F165" s="1">
        <v>0.044155</v>
      </c>
      <c r="G165" s="1">
        <v>0.133679</v>
      </c>
      <c r="H165" s="2">
        <v>1.3746E-5</v>
      </c>
      <c r="I165" s="1">
        <v>230.0</v>
      </c>
    </row>
    <row r="166">
      <c r="A166" s="1" t="s">
        <v>288</v>
      </c>
      <c r="B166" s="1" t="s">
        <v>280</v>
      </c>
      <c r="C166" s="1" t="s">
        <v>285</v>
      </c>
      <c r="D166" s="1">
        <v>50.5</v>
      </c>
      <c r="E166" s="8" t="s">
        <v>140</v>
      </c>
      <c r="F166" s="1">
        <v>0.044155</v>
      </c>
      <c r="G166" s="1">
        <v>0.133679</v>
      </c>
      <c r="H166" s="2">
        <v>1.3746E-5</v>
      </c>
      <c r="I166" s="1">
        <v>230.0</v>
      </c>
    </row>
    <row r="167">
      <c r="A167" s="1" t="s">
        <v>289</v>
      </c>
      <c r="B167" s="1" t="s">
        <v>280</v>
      </c>
      <c r="C167" s="1" t="s">
        <v>290</v>
      </c>
      <c r="D167" s="1">
        <v>20.5</v>
      </c>
      <c r="E167" s="8" t="s">
        <v>140</v>
      </c>
      <c r="F167" s="1">
        <v>0.044155</v>
      </c>
      <c r="G167" s="1">
        <v>0.133679</v>
      </c>
      <c r="H167" s="2">
        <v>1.3746E-5</v>
      </c>
      <c r="I167" s="1">
        <v>230.0</v>
      </c>
    </row>
    <row r="168">
      <c r="A168" s="1" t="s">
        <v>291</v>
      </c>
      <c r="B168" s="1" t="s">
        <v>280</v>
      </c>
      <c r="C168" s="1" t="s">
        <v>290</v>
      </c>
      <c r="D168" s="1">
        <v>20.5</v>
      </c>
      <c r="E168" s="8" t="s">
        <v>140</v>
      </c>
      <c r="F168" s="1">
        <v>0.044155</v>
      </c>
      <c r="G168" s="1">
        <v>0.133679</v>
      </c>
      <c r="H168" s="2">
        <v>1.3746E-5</v>
      </c>
      <c r="I168" s="1">
        <v>230.0</v>
      </c>
    </row>
    <row r="169">
      <c r="A169" s="1" t="s">
        <v>292</v>
      </c>
      <c r="B169" s="1" t="s">
        <v>201</v>
      </c>
      <c r="C169" s="1" t="s">
        <v>293</v>
      </c>
      <c r="D169" s="1">
        <v>38.7</v>
      </c>
      <c r="E169" s="8" t="s">
        <v>140</v>
      </c>
      <c r="F169" s="1">
        <v>0.044155</v>
      </c>
      <c r="G169" s="1">
        <v>0.133679</v>
      </c>
      <c r="H169" s="2">
        <v>1.3746E-5</v>
      </c>
      <c r="I169" s="1">
        <v>230.0</v>
      </c>
    </row>
    <row r="170">
      <c r="A170" s="1" t="s">
        <v>294</v>
      </c>
      <c r="B170" s="1" t="s">
        <v>201</v>
      </c>
      <c r="C170" s="1" t="s">
        <v>293</v>
      </c>
      <c r="D170" s="1">
        <v>38.7</v>
      </c>
      <c r="E170" s="8" t="s">
        <v>140</v>
      </c>
      <c r="F170" s="1">
        <v>0.044155</v>
      </c>
      <c r="G170" s="1">
        <v>0.133679</v>
      </c>
      <c r="H170" s="2">
        <v>1.3746E-5</v>
      </c>
      <c r="I170" s="1">
        <v>230.0</v>
      </c>
    </row>
    <row r="171">
      <c r="A171" s="1" t="s">
        <v>295</v>
      </c>
      <c r="B171" s="1" t="s">
        <v>285</v>
      </c>
      <c r="C171" s="1" t="s">
        <v>296</v>
      </c>
      <c r="D171" s="1">
        <v>49.0</v>
      </c>
      <c r="E171" s="8" t="s">
        <v>140</v>
      </c>
      <c r="F171" s="1">
        <v>0.044155</v>
      </c>
      <c r="G171" s="1">
        <v>0.133679</v>
      </c>
      <c r="H171" s="2">
        <v>1.3746E-5</v>
      </c>
      <c r="I171" s="1">
        <v>230.0</v>
      </c>
    </row>
    <row r="172">
      <c r="A172" s="1" t="s">
        <v>297</v>
      </c>
      <c r="B172" s="1" t="s">
        <v>285</v>
      </c>
      <c r="C172" s="1" t="s">
        <v>296</v>
      </c>
      <c r="D172" s="1">
        <v>49.0</v>
      </c>
      <c r="E172" s="8" t="s">
        <v>140</v>
      </c>
      <c r="F172" s="1">
        <v>0.044155</v>
      </c>
      <c r="G172" s="1">
        <v>0.133679</v>
      </c>
      <c r="H172" s="2">
        <v>1.3746E-5</v>
      </c>
      <c r="I172" s="1">
        <v>230.0</v>
      </c>
    </row>
    <row r="173">
      <c r="A173" s="1" t="s">
        <v>298</v>
      </c>
      <c r="B173" s="1" t="s">
        <v>285</v>
      </c>
      <c r="C173" s="1" t="s">
        <v>296</v>
      </c>
      <c r="D173" s="1">
        <v>49.0</v>
      </c>
      <c r="E173" s="8" t="s">
        <v>140</v>
      </c>
      <c r="F173" s="1">
        <v>0.044155</v>
      </c>
      <c r="G173" s="1">
        <v>0.133679</v>
      </c>
      <c r="H173" s="2">
        <v>1.3746E-5</v>
      </c>
      <c r="I173" s="1">
        <v>230.0</v>
      </c>
    </row>
    <row r="174">
      <c r="A174" s="1" t="s">
        <v>299</v>
      </c>
      <c r="B174" s="1" t="s">
        <v>285</v>
      </c>
      <c r="C174" s="1" t="s">
        <v>296</v>
      </c>
      <c r="D174" s="1">
        <v>49.0</v>
      </c>
      <c r="E174" s="8" t="s">
        <v>140</v>
      </c>
      <c r="F174" s="1">
        <v>0.044155</v>
      </c>
      <c r="G174" s="1">
        <v>0.133679</v>
      </c>
      <c r="H174" s="2">
        <v>1.3746E-5</v>
      </c>
      <c r="I174" s="1">
        <v>230.0</v>
      </c>
    </row>
    <row r="175">
      <c r="A175" s="1" t="s">
        <v>300</v>
      </c>
      <c r="B175" s="1" t="s">
        <v>301</v>
      </c>
      <c r="C175" s="1" t="s">
        <v>119</v>
      </c>
      <c r="D175" s="1">
        <v>1.1</v>
      </c>
      <c r="E175" s="1" t="s">
        <v>302</v>
      </c>
      <c r="F175" s="1">
        <v>0.015</v>
      </c>
      <c r="G175" s="1">
        <v>0.12</v>
      </c>
      <c r="H175" s="2">
        <v>2.0E-5</v>
      </c>
      <c r="I175" s="1">
        <v>230.0</v>
      </c>
    </row>
    <row r="176">
      <c r="A176" s="1" t="s">
        <v>303</v>
      </c>
      <c r="B176" s="1" t="s">
        <v>301</v>
      </c>
      <c r="C176" s="1" t="s">
        <v>119</v>
      </c>
      <c r="D176" s="1">
        <v>1.1</v>
      </c>
      <c r="E176" s="1" t="s">
        <v>302</v>
      </c>
      <c r="F176" s="1">
        <v>0.015</v>
      </c>
      <c r="G176" s="1">
        <v>0.12</v>
      </c>
      <c r="H176" s="2">
        <v>2.0E-5</v>
      </c>
      <c r="I176" s="1">
        <v>230.0</v>
      </c>
    </row>
    <row r="177">
      <c r="A177" s="1" t="s">
        <v>304</v>
      </c>
      <c r="B177" s="1" t="s">
        <v>301</v>
      </c>
      <c r="C177" s="1" t="s">
        <v>119</v>
      </c>
      <c r="D177" s="1">
        <v>1.1</v>
      </c>
      <c r="E177" s="1" t="s">
        <v>302</v>
      </c>
      <c r="F177" s="1">
        <v>0.015</v>
      </c>
      <c r="G177" s="1">
        <v>0.12</v>
      </c>
      <c r="H177" s="2">
        <v>2.0E-5</v>
      </c>
      <c r="I177" s="1">
        <v>230.0</v>
      </c>
    </row>
    <row r="178">
      <c r="A178" s="1" t="s">
        <v>305</v>
      </c>
      <c r="B178" s="1" t="s">
        <v>306</v>
      </c>
      <c r="C178" s="1" t="s">
        <v>307</v>
      </c>
      <c r="D178" s="1">
        <v>57.0</v>
      </c>
      <c r="E178" s="1" t="s">
        <v>308</v>
      </c>
      <c r="F178" s="1">
        <v>0.1101</v>
      </c>
      <c r="G178" s="1">
        <v>0.2559</v>
      </c>
      <c r="H178" s="2">
        <v>6.5703E-6</v>
      </c>
      <c r="I178" s="1">
        <v>132.0</v>
      </c>
    </row>
    <row r="179">
      <c r="A179" s="1" t="s">
        <v>309</v>
      </c>
      <c r="B179" s="1" t="s">
        <v>306</v>
      </c>
      <c r="C179" s="1" t="s">
        <v>307</v>
      </c>
      <c r="D179" s="1">
        <v>57.0</v>
      </c>
      <c r="E179" s="1" t="s">
        <v>308</v>
      </c>
      <c r="F179" s="1">
        <v>0.1101</v>
      </c>
      <c r="G179" s="1">
        <v>0.2559</v>
      </c>
      <c r="H179" s="2">
        <v>6.5703E-6</v>
      </c>
      <c r="I179" s="1">
        <v>132.0</v>
      </c>
    </row>
    <row r="180">
      <c r="A180" s="1" t="s">
        <v>310</v>
      </c>
      <c r="B180" s="1" t="s">
        <v>307</v>
      </c>
      <c r="C180" s="1" t="s">
        <v>311</v>
      </c>
      <c r="D180" s="1">
        <v>16.5</v>
      </c>
      <c r="E180" s="1" t="s">
        <v>308</v>
      </c>
      <c r="F180" s="1">
        <v>0.1101</v>
      </c>
      <c r="G180" s="1">
        <v>0.2559</v>
      </c>
      <c r="H180" s="2">
        <v>6.5703E-6</v>
      </c>
      <c r="I180" s="1">
        <v>132.0</v>
      </c>
    </row>
    <row r="181">
      <c r="A181" s="1" t="s">
        <v>312</v>
      </c>
      <c r="B181" s="1" t="s">
        <v>307</v>
      </c>
      <c r="C181" s="1" t="s">
        <v>311</v>
      </c>
      <c r="D181" s="1">
        <v>16.5</v>
      </c>
      <c r="E181" s="1" t="s">
        <v>308</v>
      </c>
      <c r="F181" s="1">
        <v>0.1101</v>
      </c>
      <c r="G181" s="1">
        <v>0.2559</v>
      </c>
      <c r="H181" s="2">
        <v>6.5703E-6</v>
      </c>
      <c r="I181" s="1">
        <v>132.0</v>
      </c>
    </row>
    <row r="182">
      <c r="A182" s="1" t="s">
        <v>313</v>
      </c>
      <c r="B182" s="1" t="s">
        <v>311</v>
      </c>
      <c r="C182" s="1" t="s">
        <v>314</v>
      </c>
      <c r="D182" s="1">
        <v>45.5</v>
      </c>
      <c r="E182" s="1" t="s">
        <v>308</v>
      </c>
      <c r="F182" s="1">
        <v>0.08808</v>
      </c>
      <c r="G182" s="1">
        <v>0.2559</v>
      </c>
      <c r="H182" s="2">
        <v>6.5703E-6</v>
      </c>
      <c r="I182" s="1">
        <v>132.0</v>
      </c>
    </row>
    <row r="183">
      <c r="A183" s="1" t="s">
        <v>315</v>
      </c>
      <c r="B183" s="1" t="s">
        <v>311</v>
      </c>
      <c r="C183" s="1" t="s">
        <v>314</v>
      </c>
      <c r="D183" s="1">
        <v>45.5</v>
      </c>
      <c r="E183" s="1" t="s">
        <v>308</v>
      </c>
      <c r="F183" s="1">
        <v>0.08808</v>
      </c>
      <c r="G183" s="1">
        <v>0.2559</v>
      </c>
      <c r="H183" s="2">
        <v>6.5703E-6</v>
      </c>
      <c r="I183" s="1">
        <v>132.0</v>
      </c>
    </row>
    <row r="184">
      <c r="A184" s="1" t="s">
        <v>316</v>
      </c>
      <c r="B184" s="1" t="s">
        <v>314</v>
      </c>
      <c r="C184" s="1" t="s">
        <v>317</v>
      </c>
      <c r="D184" s="1">
        <v>13.5</v>
      </c>
      <c r="E184" s="1" t="s">
        <v>308</v>
      </c>
      <c r="F184" s="1">
        <v>0.1101</v>
      </c>
      <c r="G184" s="1">
        <v>0.2559</v>
      </c>
      <c r="H184" s="2">
        <v>6.5703E-6</v>
      </c>
      <c r="I184" s="1">
        <v>132.0</v>
      </c>
    </row>
    <row r="185">
      <c r="A185" s="1" t="s">
        <v>318</v>
      </c>
      <c r="B185" s="1" t="s">
        <v>314</v>
      </c>
      <c r="C185" s="1" t="s">
        <v>317</v>
      </c>
      <c r="D185" s="1">
        <v>13.5</v>
      </c>
      <c r="E185" s="1" t="s">
        <v>308</v>
      </c>
      <c r="F185" s="1">
        <v>0.1101</v>
      </c>
      <c r="G185" s="1">
        <v>0.2559</v>
      </c>
      <c r="H185" s="2">
        <v>6.5703E-6</v>
      </c>
      <c r="I185" s="1">
        <v>132.0</v>
      </c>
    </row>
    <row r="186">
      <c r="A186" s="1" t="s">
        <v>319</v>
      </c>
      <c r="B186" s="1" t="s">
        <v>317</v>
      </c>
      <c r="C186" s="1" t="s">
        <v>320</v>
      </c>
      <c r="D186" s="3">
        <v>19.0</v>
      </c>
      <c r="E186" s="1" t="s">
        <v>308</v>
      </c>
      <c r="F186" s="1">
        <v>0.1101</v>
      </c>
      <c r="G186" s="1">
        <v>0.2559</v>
      </c>
      <c r="H186" s="2">
        <v>6.5703E-6</v>
      </c>
      <c r="I186" s="1">
        <v>132.0</v>
      </c>
    </row>
    <row r="187">
      <c r="A187" s="1" t="s">
        <v>321</v>
      </c>
      <c r="B187" s="1" t="s">
        <v>317</v>
      </c>
      <c r="C187" s="1" t="s">
        <v>320</v>
      </c>
      <c r="D187" s="3">
        <v>19.0</v>
      </c>
      <c r="E187" s="1" t="s">
        <v>308</v>
      </c>
      <c r="F187" s="1"/>
      <c r="G187" s="1"/>
      <c r="H187" s="2"/>
      <c r="I187" s="1"/>
    </row>
    <row r="188">
      <c r="A188" s="1" t="s">
        <v>322</v>
      </c>
      <c r="B188" s="1" t="s">
        <v>320</v>
      </c>
      <c r="C188" s="1" t="s">
        <v>146</v>
      </c>
      <c r="D188" s="3">
        <v>15.0</v>
      </c>
      <c r="E188" s="1" t="s">
        <v>308</v>
      </c>
      <c r="F188" s="1">
        <v>0.08808</v>
      </c>
      <c r="G188" s="1">
        <v>0.2559</v>
      </c>
      <c r="H188" s="2">
        <v>6.5703E-6</v>
      </c>
      <c r="I188" s="1">
        <v>132.0</v>
      </c>
    </row>
    <row r="189">
      <c r="A189" s="1" t="s">
        <v>323</v>
      </c>
      <c r="B189" s="1" t="s">
        <v>320</v>
      </c>
      <c r="C189" s="1" t="s">
        <v>146</v>
      </c>
      <c r="D189" s="3">
        <v>15.0</v>
      </c>
      <c r="E189" s="1" t="s">
        <v>308</v>
      </c>
      <c r="F189" s="1"/>
      <c r="G189" s="1"/>
      <c r="H189" s="2"/>
      <c r="I189" s="1"/>
    </row>
    <row r="190">
      <c r="A190" s="1" t="s">
        <v>324</v>
      </c>
      <c r="B190" s="1" t="s">
        <v>146</v>
      </c>
      <c r="C190" s="1" t="s">
        <v>325</v>
      </c>
      <c r="D190" s="1">
        <v>2.0</v>
      </c>
      <c r="E190" s="1" t="s">
        <v>308</v>
      </c>
      <c r="F190" s="1">
        <v>0.1101</v>
      </c>
      <c r="G190" s="1">
        <v>0.2559</v>
      </c>
      <c r="H190" s="2">
        <v>6.5703E-6</v>
      </c>
      <c r="I190" s="1">
        <v>132.0</v>
      </c>
    </row>
    <row r="191">
      <c r="A191" s="1" t="s">
        <v>326</v>
      </c>
      <c r="B191" s="1" t="s">
        <v>146</v>
      </c>
      <c r="C191" s="1" t="s">
        <v>325</v>
      </c>
      <c r="D191" s="1">
        <v>2.0</v>
      </c>
      <c r="E191" s="1" t="s">
        <v>308</v>
      </c>
      <c r="F191" s="1">
        <v>0.1101</v>
      </c>
      <c r="G191" s="1">
        <v>0.2559</v>
      </c>
      <c r="H191" s="2">
        <v>6.5703E-6</v>
      </c>
      <c r="I191" s="1">
        <v>132.0</v>
      </c>
    </row>
    <row r="192">
      <c r="A192" s="1" t="s">
        <v>327</v>
      </c>
      <c r="B192" s="1" t="s">
        <v>306</v>
      </c>
      <c r="C192" s="1" t="s">
        <v>328</v>
      </c>
      <c r="D192" s="1">
        <v>36.0</v>
      </c>
      <c r="E192" s="1" t="s">
        <v>308</v>
      </c>
      <c r="F192" s="1">
        <v>0.1101</v>
      </c>
      <c r="G192" s="1">
        <v>0.2559</v>
      </c>
      <c r="H192" s="2">
        <v>6.5703E-6</v>
      </c>
      <c r="I192" s="1">
        <v>132.0</v>
      </c>
    </row>
    <row r="193">
      <c r="A193" s="1" t="s">
        <v>329</v>
      </c>
      <c r="B193" s="1" t="s">
        <v>306</v>
      </c>
      <c r="C193" s="1" t="s">
        <v>328</v>
      </c>
      <c r="D193" s="1">
        <v>36.0</v>
      </c>
      <c r="E193" s="1" t="s">
        <v>308</v>
      </c>
      <c r="F193" s="1">
        <v>0.1101</v>
      </c>
      <c r="G193" s="1">
        <v>0.2559</v>
      </c>
      <c r="H193" s="2">
        <v>6.5703E-6</v>
      </c>
      <c r="I193" s="1">
        <v>132.0</v>
      </c>
    </row>
    <row r="194">
      <c r="A194" s="1" t="s">
        <v>330</v>
      </c>
      <c r="B194" s="1" t="s">
        <v>328</v>
      </c>
      <c r="C194" s="1" t="s">
        <v>331</v>
      </c>
      <c r="D194" s="1">
        <v>49.0</v>
      </c>
      <c r="E194" s="1" t="s">
        <v>308</v>
      </c>
      <c r="F194" s="1">
        <v>0.1101</v>
      </c>
      <c r="G194" s="1">
        <v>0.2559</v>
      </c>
      <c r="H194" s="2">
        <v>6.5703E-6</v>
      </c>
      <c r="I194" s="1">
        <v>132.0</v>
      </c>
    </row>
    <row r="195">
      <c r="A195" s="1" t="s">
        <v>332</v>
      </c>
      <c r="B195" s="1" t="s">
        <v>328</v>
      </c>
      <c r="C195" s="1" t="s">
        <v>331</v>
      </c>
      <c r="D195" s="1">
        <v>49.0</v>
      </c>
      <c r="E195" s="1" t="s">
        <v>308</v>
      </c>
      <c r="F195" s="1">
        <v>0.1101</v>
      </c>
      <c r="G195" s="1">
        <v>0.2559</v>
      </c>
      <c r="H195" s="2">
        <v>6.5703E-6</v>
      </c>
      <c r="I195" s="1">
        <v>132.0</v>
      </c>
    </row>
    <row r="196">
      <c r="A196" s="1" t="s">
        <v>333</v>
      </c>
      <c r="B196" s="1" t="s">
        <v>334</v>
      </c>
      <c r="C196" s="1" t="s">
        <v>331</v>
      </c>
      <c r="D196" s="1">
        <v>3.75</v>
      </c>
      <c r="E196" s="1" t="s">
        <v>308</v>
      </c>
      <c r="F196" s="1">
        <v>0.08808</v>
      </c>
      <c r="G196" s="1">
        <v>0.2559</v>
      </c>
      <c r="H196" s="2">
        <v>6.5703E-6</v>
      </c>
      <c r="I196" s="1">
        <v>132.0</v>
      </c>
    </row>
    <row r="197">
      <c r="A197" s="1" t="s">
        <v>335</v>
      </c>
      <c r="B197" s="1" t="s">
        <v>334</v>
      </c>
      <c r="C197" s="1" t="s">
        <v>331</v>
      </c>
      <c r="D197" s="1">
        <v>3.75</v>
      </c>
      <c r="E197" s="1" t="s">
        <v>308</v>
      </c>
      <c r="F197" s="1">
        <v>0.08808</v>
      </c>
      <c r="G197" s="1">
        <v>0.2559</v>
      </c>
      <c r="H197" s="2">
        <v>6.5703E-6</v>
      </c>
      <c r="I197" s="1">
        <v>132.0</v>
      </c>
    </row>
    <row r="198">
      <c r="A198" s="1" t="s">
        <v>336</v>
      </c>
      <c r="B198" s="1" t="s">
        <v>334</v>
      </c>
      <c r="C198" s="1" t="s">
        <v>331</v>
      </c>
      <c r="D198" s="1">
        <v>3.75</v>
      </c>
      <c r="E198" s="1" t="s">
        <v>308</v>
      </c>
      <c r="F198" s="1">
        <v>0.08808</v>
      </c>
      <c r="G198" s="1">
        <v>0.2559</v>
      </c>
      <c r="H198" s="2">
        <v>6.5703E-6</v>
      </c>
      <c r="I198" s="1">
        <v>132.0</v>
      </c>
    </row>
    <row r="199">
      <c r="A199" s="1" t="s">
        <v>337</v>
      </c>
      <c r="B199" s="1" t="s">
        <v>334</v>
      </c>
      <c r="C199" s="1" t="s">
        <v>331</v>
      </c>
      <c r="D199" s="1">
        <v>3.75</v>
      </c>
      <c r="E199" s="1" t="s">
        <v>308</v>
      </c>
      <c r="F199" s="1">
        <v>0.08808</v>
      </c>
      <c r="G199" s="1">
        <v>0.2559</v>
      </c>
      <c r="H199" s="2">
        <v>6.5703E-6</v>
      </c>
      <c r="I199" s="1">
        <v>132.0</v>
      </c>
    </row>
    <row r="200">
      <c r="A200" s="1" t="s">
        <v>338</v>
      </c>
      <c r="B200" s="1" t="s">
        <v>339</v>
      </c>
      <c r="C200" s="1" t="s">
        <v>331</v>
      </c>
      <c r="D200" s="3">
        <v>5.0</v>
      </c>
      <c r="E200" s="1" t="s">
        <v>308</v>
      </c>
      <c r="F200" s="1">
        <v>0.08808</v>
      </c>
      <c r="G200" s="1">
        <v>0.2559</v>
      </c>
      <c r="H200" s="2">
        <v>6.5703E-6</v>
      </c>
      <c r="I200" s="1">
        <v>132.0</v>
      </c>
    </row>
    <row r="201">
      <c r="A201" s="1" t="s">
        <v>340</v>
      </c>
      <c r="B201" s="1" t="s">
        <v>339</v>
      </c>
      <c r="C201" s="1" t="s">
        <v>331</v>
      </c>
      <c r="D201" s="3">
        <v>25.0</v>
      </c>
      <c r="E201" s="1" t="s">
        <v>308</v>
      </c>
      <c r="F201" s="1">
        <v>0.08808</v>
      </c>
      <c r="G201" s="1">
        <v>0.2559</v>
      </c>
      <c r="H201" s="2">
        <v>6.5703E-6</v>
      </c>
      <c r="I201" s="1">
        <v>132.0</v>
      </c>
    </row>
    <row r="202">
      <c r="A202" s="1" t="s">
        <v>341</v>
      </c>
      <c r="B202" s="1" t="s">
        <v>342</v>
      </c>
      <c r="C202" s="1" t="s">
        <v>339</v>
      </c>
      <c r="D202" s="3">
        <v>5.0</v>
      </c>
      <c r="E202" s="1" t="s">
        <v>308</v>
      </c>
      <c r="F202" s="1">
        <v>0.1101</v>
      </c>
      <c r="G202" s="1">
        <v>0.2559</v>
      </c>
      <c r="H202" s="2">
        <v>6.5703E-6</v>
      </c>
      <c r="I202" s="1">
        <v>132.0</v>
      </c>
    </row>
    <row r="203">
      <c r="A203" s="1" t="s">
        <v>343</v>
      </c>
      <c r="B203" s="1" t="s">
        <v>342</v>
      </c>
      <c r="C203" s="1" t="s">
        <v>339</v>
      </c>
      <c r="D203" s="3">
        <v>5.0</v>
      </c>
      <c r="E203" s="1" t="s">
        <v>308</v>
      </c>
      <c r="F203" s="1">
        <v>0.1101</v>
      </c>
      <c r="G203" s="1">
        <v>0.2559</v>
      </c>
      <c r="H203" s="2">
        <v>6.5703E-6</v>
      </c>
      <c r="I203" s="1">
        <v>132.0</v>
      </c>
    </row>
    <row r="204">
      <c r="A204" s="1" t="s">
        <v>344</v>
      </c>
      <c r="B204" s="1" t="s">
        <v>342</v>
      </c>
      <c r="C204" s="1" t="s">
        <v>345</v>
      </c>
      <c r="D204" s="1">
        <v>33.0</v>
      </c>
      <c r="E204" s="1" t="s">
        <v>308</v>
      </c>
      <c r="F204" s="1">
        <v>0.1101</v>
      </c>
      <c r="G204" s="1">
        <v>0.2559</v>
      </c>
      <c r="H204" s="2">
        <v>6.5703E-6</v>
      </c>
      <c r="I204" s="1">
        <v>132.0</v>
      </c>
    </row>
    <row r="205">
      <c r="A205" s="1" t="s">
        <v>346</v>
      </c>
      <c r="B205" s="1" t="s">
        <v>342</v>
      </c>
      <c r="C205" s="1" t="s">
        <v>345</v>
      </c>
      <c r="D205" s="1">
        <v>33.0</v>
      </c>
      <c r="E205" s="1" t="s">
        <v>308</v>
      </c>
      <c r="F205" s="1">
        <v>0.1101</v>
      </c>
      <c r="G205" s="1">
        <v>0.2559</v>
      </c>
      <c r="H205" s="2">
        <v>6.5703E-6</v>
      </c>
      <c r="I205" s="1">
        <v>132.0</v>
      </c>
    </row>
    <row r="206">
      <c r="A206" s="1" t="s">
        <v>347</v>
      </c>
      <c r="B206" s="1" t="s">
        <v>348</v>
      </c>
      <c r="C206" s="1" t="s">
        <v>349</v>
      </c>
      <c r="D206" s="1">
        <v>45.0</v>
      </c>
      <c r="E206" s="1" t="s">
        <v>308</v>
      </c>
      <c r="F206" s="1">
        <v>0.1101</v>
      </c>
      <c r="G206" s="1">
        <v>0.2559</v>
      </c>
      <c r="H206" s="2">
        <v>6.5703E-6</v>
      </c>
      <c r="I206" s="1">
        <v>132.0</v>
      </c>
    </row>
    <row r="207">
      <c r="A207" s="1" t="s">
        <v>350</v>
      </c>
      <c r="B207" s="1" t="s">
        <v>348</v>
      </c>
      <c r="C207" s="1" t="s">
        <v>349</v>
      </c>
      <c r="D207" s="1">
        <v>45.0</v>
      </c>
      <c r="E207" s="1" t="s">
        <v>308</v>
      </c>
      <c r="F207" s="1">
        <v>0.1101</v>
      </c>
      <c r="G207" s="1">
        <v>0.2559</v>
      </c>
      <c r="H207" s="2">
        <v>6.5703E-6</v>
      </c>
      <c r="I207" s="1">
        <v>132.0</v>
      </c>
    </row>
    <row r="208">
      <c r="A208" s="1" t="s">
        <v>351</v>
      </c>
      <c r="B208" s="1" t="s">
        <v>349</v>
      </c>
      <c r="C208" s="1" t="s">
        <v>352</v>
      </c>
      <c r="D208" s="1">
        <v>63.5</v>
      </c>
      <c r="E208" s="1" t="s">
        <v>308</v>
      </c>
      <c r="F208" s="1">
        <v>0.1101</v>
      </c>
      <c r="G208" s="1">
        <v>0.2559</v>
      </c>
      <c r="H208" s="2">
        <v>6.5703E-6</v>
      </c>
      <c r="I208" s="1">
        <v>132.0</v>
      </c>
    </row>
    <row r="209">
      <c r="A209" s="1" t="s">
        <v>353</v>
      </c>
      <c r="B209" s="1" t="s">
        <v>349</v>
      </c>
      <c r="C209" s="1" t="s">
        <v>352</v>
      </c>
      <c r="D209" s="1">
        <v>63.5</v>
      </c>
      <c r="E209" s="1" t="s">
        <v>308</v>
      </c>
      <c r="F209" s="1">
        <v>0.1101</v>
      </c>
      <c r="G209" s="1">
        <v>0.2559</v>
      </c>
      <c r="H209" s="2">
        <v>6.5703E-6</v>
      </c>
      <c r="I209" s="1">
        <v>132.0</v>
      </c>
    </row>
    <row r="210">
      <c r="A210" s="1" t="s">
        <v>354</v>
      </c>
      <c r="B210" s="1" t="s">
        <v>355</v>
      </c>
      <c r="C210" s="1" t="s">
        <v>356</v>
      </c>
      <c r="D210" s="1">
        <v>66.0</v>
      </c>
      <c r="E210" s="1" t="s">
        <v>308</v>
      </c>
      <c r="F210" s="1">
        <v>0.1101</v>
      </c>
      <c r="G210" s="1">
        <v>0.2559</v>
      </c>
      <c r="H210" s="2">
        <v>6.5703E-6</v>
      </c>
      <c r="I210" s="1">
        <v>132.0</v>
      </c>
    </row>
    <row r="211">
      <c r="A211" s="1" t="s">
        <v>357</v>
      </c>
      <c r="B211" s="1" t="s">
        <v>355</v>
      </c>
      <c r="C211" s="1" t="s">
        <v>356</v>
      </c>
      <c r="D211" s="1">
        <v>66.0</v>
      </c>
      <c r="E211" s="1" t="s">
        <v>308</v>
      </c>
      <c r="F211" s="1">
        <v>0.1101</v>
      </c>
      <c r="G211" s="1">
        <v>0.2559</v>
      </c>
      <c r="H211" s="2">
        <v>6.5703E-6</v>
      </c>
      <c r="I211" s="1">
        <v>132.0</v>
      </c>
    </row>
    <row r="212">
      <c r="A212" s="1" t="s">
        <v>358</v>
      </c>
      <c r="B212" s="1" t="s">
        <v>356</v>
      </c>
      <c r="C212" s="1" t="s">
        <v>359</v>
      </c>
      <c r="D212" s="3">
        <v>29.0</v>
      </c>
      <c r="E212" s="1" t="s">
        <v>308</v>
      </c>
      <c r="F212" s="1">
        <v>0.1101</v>
      </c>
      <c r="G212" s="1">
        <v>0.2559</v>
      </c>
      <c r="H212" s="2">
        <v>6.5703E-6</v>
      </c>
      <c r="I212" s="1">
        <v>132.0</v>
      </c>
    </row>
    <row r="213">
      <c r="A213" s="1" t="s">
        <v>360</v>
      </c>
      <c r="B213" s="1" t="s">
        <v>356</v>
      </c>
      <c r="C213" s="1" t="s">
        <v>359</v>
      </c>
      <c r="D213" s="3">
        <v>29.0</v>
      </c>
      <c r="E213" s="1" t="s">
        <v>308</v>
      </c>
      <c r="F213" s="1">
        <v>0.1101</v>
      </c>
      <c r="G213" s="1">
        <v>0.2559</v>
      </c>
      <c r="H213" s="2">
        <v>6.5703E-6</v>
      </c>
      <c r="I213" s="1">
        <v>132.0</v>
      </c>
    </row>
    <row r="214">
      <c r="A214" s="1" t="s">
        <v>361</v>
      </c>
      <c r="B214" s="1" t="s">
        <v>359</v>
      </c>
      <c r="C214" s="1" t="s">
        <v>362</v>
      </c>
      <c r="D214" s="3">
        <v>26.0</v>
      </c>
      <c r="E214" s="1" t="s">
        <v>308</v>
      </c>
      <c r="F214" s="1"/>
      <c r="G214" s="1"/>
      <c r="H214" s="2"/>
      <c r="I214" s="1"/>
    </row>
    <row r="215">
      <c r="A215" s="1" t="s">
        <v>363</v>
      </c>
      <c r="B215" s="1" t="s">
        <v>359</v>
      </c>
      <c r="C215" s="1" t="s">
        <v>362</v>
      </c>
      <c r="D215" s="3">
        <v>26.0</v>
      </c>
      <c r="E215" s="1" t="s">
        <v>308</v>
      </c>
      <c r="F215" s="1"/>
      <c r="G215" s="1"/>
      <c r="H215" s="2"/>
      <c r="I215" s="1"/>
    </row>
    <row r="216">
      <c r="A216" s="1" t="s">
        <v>364</v>
      </c>
      <c r="B216" s="1" t="s">
        <v>362</v>
      </c>
      <c r="C216" s="1" t="s">
        <v>365</v>
      </c>
      <c r="D216" s="1">
        <v>61.5</v>
      </c>
      <c r="E216" s="1" t="s">
        <v>308</v>
      </c>
      <c r="F216" s="1">
        <v>0.1101</v>
      </c>
      <c r="G216" s="1">
        <v>0.2559</v>
      </c>
      <c r="H216" s="2">
        <v>6.5703E-6</v>
      </c>
      <c r="I216" s="1">
        <v>132.0</v>
      </c>
    </row>
    <row r="217">
      <c r="A217" s="1" t="s">
        <v>366</v>
      </c>
      <c r="B217" s="1" t="s">
        <v>362</v>
      </c>
      <c r="C217" s="1" t="s">
        <v>365</v>
      </c>
      <c r="D217" s="1">
        <v>61.5</v>
      </c>
      <c r="E217" s="1" t="s">
        <v>308</v>
      </c>
      <c r="F217" s="1">
        <v>0.1101</v>
      </c>
      <c r="G217" s="1">
        <v>0.2559</v>
      </c>
      <c r="H217" s="2">
        <v>6.5703E-6</v>
      </c>
      <c r="I217" s="1">
        <v>132.0</v>
      </c>
    </row>
    <row r="218">
      <c r="A218" s="1" t="s">
        <v>367</v>
      </c>
      <c r="B218" s="1" t="s">
        <v>365</v>
      </c>
      <c r="C218" s="1" t="s">
        <v>368</v>
      </c>
      <c r="D218" s="1">
        <v>15.0</v>
      </c>
      <c r="E218" s="1" t="s">
        <v>308</v>
      </c>
      <c r="F218" s="1">
        <v>0.1101</v>
      </c>
      <c r="G218" s="1">
        <v>0.2559</v>
      </c>
      <c r="H218" s="2">
        <v>6.5703E-6</v>
      </c>
      <c r="I218" s="1">
        <v>132.0</v>
      </c>
    </row>
    <row r="219">
      <c r="A219" s="1" t="s">
        <v>369</v>
      </c>
      <c r="B219" s="1" t="s">
        <v>365</v>
      </c>
      <c r="C219" s="1" t="s">
        <v>368</v>
      </c>
      <c r="D219" s="1">
        <v>15.0</v>
      </c>
      <c r="E219" s="1" t="s">
        <v>308</v>
      </c>
      <c r="F219" s="1">
        <v>0.1101</v>
      </c>
      <c r="G219" s="1">
        <v>0.2559</v>
      </c>
      <c r="H219" s="2">
        <v>6.5703E-6</v>
      </c>
      <c r="I219" s="1">
        <v>132.0</v>
      </c>
    </row>
    <row r="220">
      <c r="A220" s="1" t="s">
        <v>324</v>
      </c>
      <c r="B220" s="1" t="s">
        <v>368</v>
      </c>
      <c r="C220" s="1" t="s">
        <v>325</v>
      </c>
      <c r="D220" s="1">
        <v>2.5</v>
      </c>
      <c r="E220" s="1" t="s">
        <v>308</v>
      </c>
      <c r="F220" s="1">
        <v>0.1101</v>
      </c>
      <c r="G220" s="1">
        <v>0.2559</v>
      </c>
      <c r="H220" s="2">
        <v>6.5703E-6</v>
      </c>
      <c r="I220" s="1">
        <v>132.0</v>
      </c>
    </row>
    <row r="221">
      <c r="A221" s="1" t="s">
        <v>326</v>
      </c>
      <c r="B221" s="1" t="s">
        <v>368</v>
      </c>
      <c r="C221" s="1" t="s">
        <v>325</v>
      </c>
      <c r="D221" s="1">
        <v>2.5</v>
      </c>
      <c r="E221" s="1" t="s">
        <v>308</v>
      </c>
      <c r="F221" s="1">
        <v>0.1101</v>
      </c>
      <c r="G221" s="1">
        <v>0.2559</v>
      </c>
      <c r="H221" s="2">
        <v>6.5703E-6</v>
      </c>
      <c r="I221" s="1">
        <v>132.0</v>
      </c>
    </row>
    <row r="222">
      <c r="A222" s="1" t="s">
        <v>370</v>
      </c>
      <c r="B222" s="1" t="s">
        <v>356</v>
      </c>
      <c r="C222" s="1" t="s">
        <v>371</v>
      </c>
      <c r="D222" s="3">
        <v>56.0</v>
      </c>
      <c r="E222" s="1" t="s">
        <v>308</v>
      </c>
      <c r="F222" s="1">
        <v>0.1101</v>
      </c>
      <c r="G222" s="1">
        <v>0.2559</v>
      </c>
      <c r="H222" s="2">
        <v>6.5703E-6</v>
      </c>
      <c r="I222" s="1">
        <v>132.0</v>
      </c>
    </row>
    <row r="223">
      <c r="A223" s="1" t="s">
        <v>372</v>
      </c>
      <c r="B223" s="1" t="s">
        <v>49</v>
      </c>
      <c r="C223" s="1" t="s">
        <v>371</v>
      </c>
      <c r="D223" s="3">
        <v>40.0</v>
      </c>
      <c r="E223" s="1" t="s">
        <v>373</v>
      </c>
      <c r="F223" s="1">
        <v>0.1101</v>
      </c>
      <c r="G223" s="1">
        <v>0.2559</v>
      </c>
      <c r="H223" s="2">
        <v>6.5703E-6</v>
      </c>
      <c r="I223" s="1">
        <v>132.0</v>
      </c>
    </row>
    <row r="224">
      <c r="A224" s="1" t="s">
        <v>374</v>
      </c>
      <c r="B224" s="1" t="s">
        <v>371</v>
      </c>
      <c r="C224" s="1" t="s">
        <v>375</v>
      </c>
      <c r="D224" s="3">
        <v>22.0</v>
      </c>
      <c r="E224" s="1" t="s">
        <v>308</v>
      </c>
      <c r="F224" s="1"/>
      <c r="G224" s="1"/>
      <c r="H224" s="2"/>
      <c r="I224" s="1"/>
    </row>
    <row r="225">
      <c r="A225" s="1" t="s">
        <v>376</v>
      </c>
      <c r="B225" s="1" t="s">
        <v>371</v>
      </c>
      <c r="C225" s="1" t="s">
        <v>375</v>
      </c>
      <c r="D225" s="3">
        <v>22.0</v>
      </c>
      <c r="E225" s="1" t="s">
        <v>308</v>
      </c>
      <c r="F225" s="1"/>
      <c r="G225" s="1"/>
      <c r="H225" s="2"/>
      <c r="I225" s="1"/>
    </row>
    <row r="226">
      <c r="A226" s="1" t="s">
        <v>377</v>
      </c>
      <c r="B226" s="1" t="s">
        <v>311</v>
      </c>
      <c r="C226" s="1" t="s">
        <v>378</v>
      </c>
      <c r="D226" s="1">
        <v>21.0</v>
      </c>
      <c r="E226" s="1" t="s">
        <v>308</v>
      </c>
      <c r="F226" s="1">
        <v>0.08808</v>
      </c>
      <c r="G226" s="1">
        <v>0.2559</v>
      </c>
      <c r="H226" s="2">
        <v>6.5703E-6</v>
      </c>
      <c r="I226" s="1">
        <v>132.0</v>
      </c>
    </row>
    <row r="227">
      <c r="A227" s="1" t="s">
        <v>379</v>
      </c>
      <c r="B227" s="1" t="s">
        <v>311</v>
      </c>
      <c r="C227" s="1" t="s">
        <v>378</v>
      </c>
      <c r="D227" s="1">
        <v>21.0</v>
      </c>
      <c r="E227" s="1" t="s">
        <v>308</v>
      </c>
      <c r="F227" s="1">
        <v>0.08808</v>
      </c>
      <c r="G227" s="1">
        <v>0.2559</v>
      </c>
      <c r="H227" s="2">
        <v>6.5703E-6</v>
      </c>
      <c r="I227" s="1">
        <v>132.0</v>
      </c>
    </row>
    <row r="228">
      <c r="A228" s="1" t="s">
        <v>380</v>
      </c>
      <c r="B228" s="1" t="s">
        <v>378</v>
      </c>
      <c r="C228" s="1" t="s">
        <v>381</v>
      </c>
      <c r="D228" s="1">
        <v>31.0</v>
      </c>
      <c r="E228" s="1" t="s">
        <v>308</v>
      </c>
      <c r="F228" s="1"/>
      <c r="G228" s="1"/>
      <c r="H228" s="2"/>
      <c r="I228" s="1"/>
    </row>
    <row r="229">
      <c r="A229" s="1" t="s">
        <v>382</v>
      </c>
      <c r="B229" s="1" t="s">
        <v>378</v>
      </c>
      <c r="C229" s="1" t="s">
        <v>381</v>
      </c>
      <c r="D229" s="1">
        <v>31.0</v>
      </c>
      <c r="E229" s="1" t="s">
        <v>308</v>
      </c>
      <c r="F229" s="1"/>
      <c r="G229" s="1"/>
      <c r="H229" s="2"/>
      <c r="I229" s="1"/>
    </row>
    <row r="230">
      <c r="A230" s="1" t="s">
        <v>383</v>
      </c>
      <c r="B230" s="1" t="s">
        <v>381</v>
      </c>
      <c r="C230" s="1" t="s">
        <v>384</v>
      </c>
      <c r="D230" s="1">
        <v>59.0</v>
      </c>
      <c r="E230" s="1" t="s">
        <v>308</v>
      </c>
      <c r="F230" s="1">
        <v>0.1101</v>
      </c>
      <c r="G230" s="1">
        <v>0.2559</v>
      </c>
      <c r="H230" s="2">
        <v>6.5703E-6</v>
      </c>
      <c r="I230" s="1">
        <v>132.0</v>
      </c>
    </row>
    <row r="231">
      <c r="A231" s="1" t="s">
        <v>385</v>
      </c>
      <c r="B231" s="1" t="s">
        <v>381</v>
      </c>
      <c r="C231" s="1" t="s">
        <v>384</v>
      </c>
      <c r="D231" s="1">
        <v>59.0</v>
      </c>
      <c r="E231" s="1" t="s">
        <v>308</v>
      </c>
      <c r="F231" s="1">
        <v>0.1101</v>
      </c>
      <c r="G231" s="1">
        <v>0.2559</v>
      </c>
      <c r="H231" s="2">
        <v>6.5703E-6</v>
      </c>
      <c r="I231" s="1">
        <v>132.0</v>
      </c>
    </row>
    <row r="232">
      <c r="A232" s="1" t="s">
        <v>386</v>
      </c>
      <c r="B232" s="1" t="s">
        <v>384</v>
      </c>
      <c r="C232" s="1" t="s">
        <v>387</v>
      </c>
      <c r="D232" s="1">
        <v>55.0</v>
      </c>
      <c r="E232" s="1" t="s">
        <v>308</v>
      </c>
      <c r="F232" s="1">
        <v>0.08808</v>
      </c>
      <c r="G232" s="1">
        <v>0.2559</v>
      </c>
      <c r="H232" s="2">
        <v>6.5703E-6</v>
      </c>
      <c r="I232" s="1">
        <v>132.0</v>
      </c>
    </row>
    <row r="233">
      <c r="A233" s="1" t="s">
        <v>388</v>
      </c>
      <c r="B233" s="1" t="s">
        <v>384</v>
      </c>
      <c r="C233" s="1" t="s">
        <v>387</v>
      </c>
      <c r="D233" s="1">
        <v>55.0</v>
      </c>
      <c r="E233" s="1" t="s">
        <v>308</v>
      </c>
      <c r="F233" s="1">
        <v>0.08808</v>
      </c>
      <c r="G233" s="1">
        <v>0.2559</v>
      </c>
      <c r="H233" s="2">
        <v>6.5703E-6</v>
      </c>
      <c r="I233" s="1">
        <v>132.0</v>
      </c>
    </row>
    <row r="234">
      <c r="A234" s="1" t="s">
        <v>389</v>
      </c>
      <c r="B234" s="1" t="s">
        <v>390</v>
      </c>
      <c r="C234" s="1" t="s">
        <v>391</v>
      </c>
      <c r="D234" s="1">
        <v>17.0</v>
      </c>
      <c r="E234" s="1" t="s">
        <v>308</v>
      </c>
      <c r="F234" s="1">
        <v>0.1101</v>
      </c>
      <c r="G234" s="1">
        <v>0.2559</v>
      </c>
      <c r="H234" s="2">
        <v>6.5703E-6</v>
      </c>
      <c r="I234" s="1">
        <v>132.0</v>
      </c>
    </row>
    <row r="235">
      <c r="A235" s="1" t="s">
        <v>392</v>
      </c>
      <c r="B235" s="1" t="s">
        <v>390</v>
      </c>
      <c r="C235" s="1" t="s">
        <v>393</v>
      </c>
      <c r="D235" s="1">
        <v>9.0</v>
      </c>
      <c r="E235" s="1" t="s">
        <v>308</v>
      </c>
      <c r="F235" s="1">
        <v>0.1101</v>
      </c>
      <c r="G235" s="1">
        <v>0.2559</v>
      </c>
      <c r="H235" s="2">
        <v>6.5703E-6</v>
      </c>
      <c r="I235" s="1">
        <v>132.0</v>
      </c>
    </row>
    <row r="236">
      <c r="A236" s="1" t="s">
        <v>394</v>
      </c>
      <c r="B236" s="1" t="s">
        <v>393</v>
      </c>
      <c r="C236" s="1" t="s">
        <v>391</v>
      </c>
      <c r="D236" s="1">
        <v>9.0</v>
      </c>
      <c r="E236" s="1" t="s">
        <v>308</v>
      </c>
      <c r="F236" s="1">
        <v>0.1101</v>
      </c>
      <c r="G236" s="1">
        <v>0.2559</v>
      </c>
      <c r="H236" s="2">
        <v>6.5703E-6</v>
      </c>
      <c r="I236" s="1">
        <v>132.0</v>
      </c>
    </row>
    <row r="237">
      <c r="A237" s="1" t="s">
        <v>395</v>
      </c>
      <c r="B237" s="1" t="s">
        <v>391</v>
      </c>
      <c r="C237" s="1" t="s">
        <v>396</v>
      </c>
      <c r="D237" s="1">
        <v>11.0</v>
      </c>
      <c r="E237" s="1" t="s">
        <v>308</v>
      </c>
      <c r="F237" s="1">
        <v>0.08808</v>
      </c>
      <c r="G237" s="1">
        <v>0.2559</v>
      </c>
      <c r="H237" s="2">
        <v>6.5703E-6</v>
      </c>
      <c r="I237" s="1">
        <v>132.0</v>
      </c>
    </row>
    <row r="238">
      <c r="A238" s="1" t="s">
        <v>397</v>
      </c>
      <c r="B238" s="1" t="s">
        <v>391</v>
      </c>
      <c r="C238" s="1" t="s">
        <v>396</v>
      </c>
      <c r="D238" s="1">
        <v>11.0</v>
      </c>
      <c r="E238" s="1" t="s">
        <v>308</v>
      </c>
      <c r="F238" s="1">
        <v>0.08808</v>
      </c>
      <c r="G238" s="1">
        <v>0.2559</v>
      </c>
      <c r="H238" s="2">
        <v>6.5703E-6</v>
      </c>
      <c r="I238" s="1">
        <v>132.0</v>
      </c>
    </row>
    <row r="239">
      <c r="A239" s="1" t="s">
        <v>398</v>
      </c>
      <c r="B239" s="1" t="s">
        <v>396</v>
      </c>
      <c r="C239" s="1" t="s">
        <v>399</v>
      </c>
      <c r="D239" s="1">
        <v>21.0</v>
      </c>
      <c r="E239" s="1" t="s">
        <v>308</v>
      </c>
      <c r="F239" s="1"/>
      <c r="G239" s="1"/>
      <c r="H239" s="2"/>
      <c r="I239" s="1"/>
    </row>
    <row r="240">
      <c r="A240" s="1" t="s">
        <v>400</v>
      </c>
      <c r="B240" s="1" t="s">
        <v>396</v>
      </c>
      <c r="C240" s="1" t="s">
        <v>399</v>
      </c>
      <c r="D240" s="1">
        <v>21.0</v>
      </c>
      <c r="E240" s="1" t="s">
        <v>308</v>
      </c>
      <c r="F240" s="1"/>
      <c r="G240" s="1"/>
      <c r="H240" s="2"/>
      <c r="I240" s="1"/>
    </row>
    <row r="241">
      <c r="A241" s="1" t="s">
        <v>401</v>
      </c>
      <c r="B241" s="1" t="s">
        <v>391</v>
      </c>
      <c r="C241" s="1" t="s">
        <v>402</v>
      </c>
      <c r="D241" s="1">
        <v>8.0</v>
      </c>
      <c r="E241" s="1" t="s">
        <v>403</v>
      </c>
      <c r="F241" s="1">
        <v>0.09909</v>
      </c>
      <c r="G241" s="1">
        <v>0.2559</v>
      </c>
      <c r="H241" s="2">
        <v>6.5703E-6</v>
      </c>
      <c r="I241" s="1">
        <v>132.0</v>
      </c>
    </row>
    <row r="242">
      <c r="A242" s="1" t="s">
        <v>404</v>
      </c>
      <c r="B242" s="1" t="s">
        <v>402</v>
      </c>
      <c r="C242" s="1" t="s">
        <v>405</v>
      </c>
      <c r="D242" s="1">
        <v>8.0</v>
      </c>
      <c r="E242" s="1" t="s">
        <v>403</v>
      </c>
      <c r="F242" s="1">
        <v>0.09909</v>
      </c>
      <c r="G242" s="1">
        <v>0.2559</v>
      </c>
      <c r="H242" s="2">
        <v>6.5703E-6</v>
      </c>
      <c r="I242" s="1">
        <v>132.0</v>
      </c>
    </row>
    <row r="243">
      <c r="A243" s="1" t="s">
        <v>406</v>
      </c>
      <c r="B243" s="1" t="s">
        <v>407</v>
      </c>
      <c r="C243" s="1" t="s">
        <v>408</v>
      </c>
      <c r="D243" s="1">
        <v>15.0</v>
      </c>
      <c r="E243" s="1" t="s">
        <v>308</v>
      </c>
      <c r="F243" s="1">
        <v>0.1101</v>
      </c>
      <c r="G243" s="1">
        <v>0.2559</v>
      </c>
      <c r="H243" s="2">
        <v>6.5703E-6</v>
      </c>
      <c r="I243" s="1">
        <v>132.0</v>
      </c>
    </row>
    <row r="244">
      <c r="A244" s="1" t="s">
        <v>409</v>
      </c>
      <c r="B244" s="1" t="s">
        <v>407</v>
      </c>
      <c r="C244" s="1" t="s">
        <v>410</v>
      </c>
      <c r="D244" s="1">
        <v>11.0</v>
      </c>
      <c r="E244" s="1" t="s">
        <v>308</v>
      </c>
      <c r="F244" s="1">
        <v>0.1101</v>
      </c>
      <c r="G244" s="1">
        <v>0.2559</v>
      </c>
      <c r="H244" s="2">
        <v>6.5703E-6</v>
      </c>
      <c r="I244" s="1">
        <v>132.0</v>
      </c>
    </row>
    <row r="245">
      <c r="A245" s="1" t="s">
        <v>411</v>
      </c>
      <c r="B245" s="1" t="s">
        <v>410</v>
      </c>
      <c r="C245" s="1" t="s">
        <v>408</v>
      </c>
      <c r="D245" s="1">
        <v>4.0</v>
      </c>
      <c r="E245" s="1" t="s">
        <v>308</v>
      </c>
      <c r="F245" s="1">
        <v>0.1101</v>
      </c>
      <c r="G245" s="1">
        <v>0.2559</v>
      </c>
      <c r="H245" s="2">
        <v>6.5703E-6</v>
      </c>
      <c r="I245" s="1">
        <v>132.0</v>
      </c>
    </row>
    <row r="246">
      <c r="A246" s="1" t="s">
        <v>412</v>
      </c>
      <c r="B246" s="1" t="s">
        <v>390</v>
      </c>
      <c r="C246" s="1" t="s">
        <v>413</v>
      </c>
      <c r="D246" s="3">
        <v>6.5</v>
      </c>
      <c r="E246" s="1" t="s">
        <v>308</v>
      </c>
      <c r="F246" s="1">
        <v>0.1101</v>
      </c>
      <c r="G246" s="1">
        <v>0.2559</v>
      </c>
      <c r="H246" s="2">
        <v>6.5703E-6</v>
      </c>
      <c r="I246" s="1">
        <v>132.0</v>
      </c>
    </row>
    <row r="247">
      <c r="A247" s="1" t="s">
        <v>414</v>
      </c>
      <c r="B247" s="1" t="s">
        <v>390</v>
      </c>
      <c r="C247" s="1" t="s">
        <v>413</v>
      </c>
      <c r="D247" s="3">
        <v>6.5</v>
      </c>
      <c r="E247" s="1" t="s">
        <v>308</v>
      </c>
      <c r="F247" s="1">
        <v>0.1101</v>
      </c>
      <c r="G247" s="1">
        <v>0.2559</v>
      </c>
      <c r="H247" s="2">
        <v>6.5703E-6</v>
      </c>
      <c r="I247" s="1">
        <v>132.0</v>
      </c>
    </row>
    <row r="248">
      <c r="A248" s="1" t="s">
        <v>415</v>
      </c>
      <c r="B248" s="1" t="s">
        <v>413</v>
      </c>
      <c r="C248" s="1" t="s">
        <v>407</v>
      </c>
      <c r="D248" s="3">
        <v>6.5</v>
      </c>
      <c r="E248" s="1" t="s">
        <v>308</v>
      </c>
      <c r="F248" s="1"/>
      <c r="G248" s="1"/>
      <c r="H248" s="2"/>
      <c r="I248" s="1"/>
    </row>
    <row r="249">
      <c r="A249" s="1" t="s">
        <v>416</v>
      </c>
      <c r="B249" s="1" t="s">
        <v>413</v>
      </c>
      <c r="C249" s="1" t="s">
        <v>407</v>
      </c>
      <c r="D249" s="3">
        <v>6.5</v>
      </c>
      <c r="E249" s="1" t="s">
        <v>308</v>
      </c>
      <c r="F249" s="1"/>
      <c r="G249" s="1"/>
      <c r="H249" s="2"/>
      <c r="I249" s="1"/>
    </row>
    <row r="250">
      <c r="A250" s="1" t="s">
        <v>417</v>
      </c>
      <c r="B250" s="1" t="s">
        <v>348</v>
      </c>
      <c r="C250" s="1" t="s">
        <v>418</v>
      </c>
      <c r="D250" s="1">
        <v>11.5</v>
      </c>
      <c r="E250" s="1" t="s">
        <v>308</v>
      </c>
      <c r="F250" s="1">
        <v>0.1101</v>
      </c>
      <c r="G250" s="1">
        <v>0.2559</v>
      </c>
      <c r="H250" s="2">
        <v>6.5703E-6</v>
      </c>
      <c r="I250" s="1">
        <v>132.0</v>
      </c>
    </row>
    <row r="251">
      <c r="A251" s="1" t="s">
        <v>419</v>
      </c>
      <c r="B251" s="1" t="s">
        <v>348</v>
      </c>
      <c r="C251" s="1" t="s">
        <v>418</v>
      </c>
      <c r="D251" s="1">
        <v>11.5</v>
      </c>
      <c r="E251" s="1" t="s">
        <v>308</v>
      </c>
      <c r="F251" s="1">
        <v>0.1101</v>
      </c>
      <c r="G251" s="1">
        <v>0.2559</v>
      </c>
      <c r="H251" s="2">
        <v>6.5703E-6</v>
      </c>
      <c r="I251" s="1">
        <v>132.0</v>
      </c>
    </row>
    <row r="252">
      <c r="A252" s="1" t="s">
        <v>420</v>
      </c>
      <c r="B252" s="1" t="s">
        <v>418</v>
      </c>
      <c r="C252" s="1" t="s">
        <v>390</v>
      </c>
      <c r="D252" s="1">
        <v>27.0</v>
      </c>
      <c r="E252" s="1" t="s">
        <v>308</v>
      </c>
      <c r="F252" s="1">
        <v>0.1101</v>
      </c>
      <c r="G252" s="1">
        <v>0.2559</v>
      </c>
      <c r="H252" s="2">
        <v>6.5703E-6</v>
      </c>
      <c r="I252" s="1">
        <v>132.0</v>
      </c>
    </row>
    <row r="253">
      <c r="A253" s="1" t="s">
        <v>421</v>
      </c>
      <c r="B253" s="1" t="s">
        <v>418</v>
      </c>
      <c r="C253" s="1" t="s">
        <v>390</v>
      </c>
      <c r="D253" s="1">
        <v>27.0</v>
      </c>
      <c r="E253" s="1" t="s">
        <v>308</v>
      </c>
      <c r="F253" s="1">
        <v>0.1101</v>
      </c>
      <c r="G253" s="1">
        <v>0.2559</v>
      </c>
      <c r="H253" s="2">
        <v>6.5703E-6</v>
      </c>
      <c r="I253" s="1">
        <v>132.0</v>
      </c>
    </row>
    <row r="254">
      <c r="A254" s="1" t="s">
        <v>422</v>
      </c>
      <c r="B254" s="1" t="s">
        <v>390</v>
      </c>
      <c r="C254" s="1" t="s">
        <v>349</v>
      </c>
      <c r="D254" s="1">
        <v>10.0</v>
      </c>
      <c r="E254" s="1" t="s">
        <v>308</v>
      </c>
      <c r="F254" s="1">
        <v>0.1101</v>
      </c>
      <c r="G254" s="1">
        <v>0.2559</v>
      </c>
      <c r="H254" s="2">
        <v>6.5703E-6</v>
      </c>
      <c r="I254" s="1">
        <v>132.0</v>
      </c>
    </row>
    <row r="255">
      <c r="A255" s="1" t="s">
        <v>423</v>
      </c>
      <c r="B255" s="1" t="s">
        <v>390</v>
      </c>
      <c r="C255" s="1" t="s">
        <v>349</v>
      </c>
      <c r="D255" s="1">
        <v>10.0</v>
      </c>
      <c r="E255" s="1" t="s">
        <v>308</v>
      </c>
      <c r="F255" s="1">
        <v>0.1101</v>
      </c>
      <c r="G255" s="1">
        <v>0.2559</v>
      </c>
      <c r="H255" s="2">
        <v>6.5703E-6</v>
      </c>
      <c r="I255" s="1">
        <v>132.0</v>
      </c>
    </row>
    <row r="256">
      <c r="A256" s="1" t="s">
        <v>424</v>
      </c>
      <c r="B256" s="1" t="s">
        <v>349</v>
      </c>
      <c r="C256" s="1" t="s">
        <v>408</v>
      </c>
      <c r="D256" s="1">
        <v>11.0</v>
      </c>
      <c r="E256" s="1" t="s">
        <v>308</v>
      </c>
      <c r="F256" s="1">
        <v>0.1101</v>
      </c>
      <c r="G256" s="1">
        <v>0.2559</v>
      </c>
      <c r="H256" s="2">
        <v>6.5703E-6</v>
      </c>
      <c r="I256" s="1">
        <v>132.0</v>
      </c>
    </row>
    <row r="257">
      <c r="A257" s="1" t="s">
        <v>425</v>
      </c>
      <c r="B257" s="1" t="s">
        <v>349</v>
      </c>
      <c r="C257" s="1" t="s">
        <v>408</v>
      </c>
      <c r="D257" s="1">
        <v>11.0</v>
      </c>
      <c r="E257" s="1" t="s">
        <v>308</v>
      </c>
      <c r="F257" s="1">
        <v>0.1101</v>
      </c>
      <c r="G257" s="1">
        <v>0.2559</v>
      </c>
      <c r="H257" s="2">
        <v>6.5703E-6</v>
      </c>
      <c r="I257" s="1">
        <v>132.0</v>
      </c>
    </row>
    <row r="258">
      <c r="A258" s="1" t="s">
        <v>426</v>
      </c>
      <c r="B258" s="1" t="s">
        <v>399</v>
      </c>
      <c r="C258" s="1" t="s">
        <v>427</v>
      </c>
      <c r="D258" s="1">
        <v>87.0</v>
      </c>
      <c r="E258" s="1" t="s">
        <v>308</v>
      </c>
      <c r="F258" s="1">
        <v>0.08808</v>
      </c>
      <c r="G258" s="1">
        <v>0.2559</v>
      </c>
      <c r="H258" s="2">
        <v>6.5703E-6</v>
      </c>
      <c r="I258" s="1">
        <v>132.0</v>
      </c>
    </row>
    <row r="259">
      <c r="A259" s="1" t="s">
        <v>428</v>
      </c>
      <c r="B259" s="1" t="s">
        <v>399</v>
      </c>
      <c r="C259" s="1" t="s">
        <v>427</v>
      </c>
      <c r="D259" s="1">
        <v>87.0</v>
      </c>
      <c r="E259" s="1" t="s">
        <v>308</v>
      </c>
      <c r="F259" s="1">
        <v>0.08808</v>
      </c>
      <c r="G259" s="1">
        <v>0.2559</v>
      </c>
      <c r="H259" s="2">
        <v>6.5703E-6</v>
      </c>
      <c r="I259" s="1">
        <v>132.0</v>
      </c>
    </row>
    <row r="260">
      <c r="A260" s="1" t="s">
        <v>429</v>
      </c>
      <c r="B260" s="1" t="s">
        <v>355</v>
      </c>
      <c r="C260" s="1" t="s">
        <v>430</v>
      </c>
      <c r="D260" s="1">
        <f t="shared" ref="D260:D263" si="4">32*0.5</f>
        <v>16</v>
      </c>
      <c r="E260" s="1" t="s">
        <v>308</v>
      </c>
      <c r="F260" s="1">
        <v>0.1101</v>
      </c>
      <c r="G260" s="1">
        <v>0.2559</v>
      </c>
      <c r="H260" s="2">
        <v>6.5703E-6</v>
      </c>
      <c r="I260" s="1">
        <v>132.0</v>
      </c>
    </row>
    <row r="261">
      <c r="A261" s="1" t="s">
        <v>431</v>
      </c>
      <c r="B261" s="1" t="s">
        <v>355</v>
      </c>
      <c r="C261" s="1" t="s">
        <v>430</v>
      </c>
      <c r="D261" s="1">
        <f t="shared" si="4"/>
        <v>16</v>
      </c>
      <c r="E261" s="1" t="s">
        <v>308</v>
      </c>
      <c r="F261" s="1">
        <v>0.1101</v>
      </c>
      <c r="G261" s="1">
        <v>0.2559</v>
      </c>
      <c r="H261" s="2">
        <v>6.5703E-6</v>
      </c>
      <c r="I261" s="1">
        <v>132.0</v>
      </c>
    </row>
    <row r="262">
      <c r="A262" s="1" t="s">
        <v>432</v>
      </c>
      <c r="B262" s="1" t="s">
        <v>430</v>
      </c>
      <c r="C262" s="1" t="s">
        <v>433</v>
      </c>
      <c r="D262" s="1">
        <f t="shared" si="4"/>
        <v>16</v>
      </c>
      <c r="E262" s="1" t="s">
        <v>308</v>
      </c>
      <c r="F262" s="1"/>
      <c r="G262" s="1"/>
      <c r="H262" s="2"/>
      <c r="I262" s="1"/>
    </row>
    <row r="263">
      <c r="A263" s="1" t="s">
        <v>434</v>
      </c>
      <c r="B263" s="1" t="s">
        <v>430</v>
      </c>
      <c r="C263" s="1" t="s">
        <v>433</v>
      </c>
      <c r="D263" s="1">
        <f t="shared" si="4"/>
        <v>16</v>
      </c>
      <c r="E263" s="1" t="s">
        <v>308</v>
      </c>
      <c r="F263" s="1"/>
      <c r="G263" s="1"/>
      <c r="H263" s="2"/>
      <c r="I263" s="1"/>
    </row>
    <row r="264">
      <c r="A264" s="1" t="s">
        <v>435</v>
      </c>
      <c r="B264" s="1" t="s">
        <v>408</v>
      </c>
      <c r="C264" s="1" t="s">
        <v>436</v>
      </c>
      <c r="D264" s="1">
        <v>4.0</v>
      </c>
      <c r="E264" s="1" t="s">
        <v>308</v>
      </c>
      <c r="F264" s="1">
        <v>0.1101</v>
      </c>
      <c r="G264" s="1">
        <v>0.2559</v>
      </c>
      <c r="H264" s="2">
        <v>6.5703E-6</v>
      </c>
      <c r="I264" s="1">
        <v>132.0</v>
      </c>
    </row>
    <row r="265">
      <c r="A265" s="1" t="s">
        <v>437</v>
      </c>
      <c r="B265" s="1" t="s">
        <v>384</v>
      </c>
      <c r="C265" s="1" t="s">
        <v>438</v>
      </c>
      <c r="D265" s="1">
        <v>34.0</v>
      </c>
      <c r="E265" s="1" t="s">
        <v>308</v>
      </c>
      <c r="F265" s="1">
        <v>0.1101</v>
      </c>
      <c r="G265" s="1">
        <v>0.2559</v>
      </c>
      <c r="H265" s="2">
        <v>6.5703E-6</v>
      </c>
      <c r="I265" s="1">
        <v>132.0</v>
      </c>
    </row>
    <row r="266">
      <c r="A266" s="1" t="s">
        <v>439</v>
      </c>
      <c r="B266" s="1" t="s">
        <v>384</v>
      </c>
      <c r="C266" s="1" t="s">
        <v>438</v>
      </c>
      <c r="D266" s="1">
        <v>34.0</v>
      </c>
      <c r="E266" s="1" t="s">
        <v>308</v>
      </c>
      <c r="F266" s="1">
        <v>0.1101</v>
      </c>
      <c r="G266" s="1">
        <v>0.2559</v>
      </c>
      <c r="H266" s="2">
        <v>6.5703E-6</v>
      </c>
      <c r="I266" s="1">
        <v>132.0</v>
      </c>
    </row>
    <row r="267">
      <c r="A267" s="1" t="s">
        <v>440</v>
      </c>
      <c r="B267" s="1" t="s">
        <v>441</v>
      </c>
      <c r="C267" s="1" t="s">
        <v>442</v>
      </c>
      <c r="D267" s="1">
        <v>1.5</v>
      </c>
      <c r="E267" s="1" t="s">
        <v>403</v>
      </c>
      <c r="F267" s="1">
        <v>0.09909</v>
      </c>
      <c r="G267" s="1">
        <v>0.2559</v>
      </c>
      <c r="H267" s="2">
        <v>6.5703E-6</v>
      </c>
      <c r="I267" s="1">
        <v>132.0</v>
      </c>
    </row>
    <row r="268">
      <c r="A268" s="1" t="s">
        <v>443</v>
      </c>
      <c r="B268" s="1" t="s">
        <v>441</v>
      </c>
      <c r="C268" s="1" t="s">
        <v>442</v>
      </c>
      <c r="D268" s="1">
        <v>1.5</v>
      </c>
      <c r="E268" s="1" t="s">
        <v>403</v>
      </c>
      <c r="F268" s="1">
        <v>0.09909</v>
      </c>
      <c r="G268" s="1">
        <v>0.2559</v>
      </c>
      <c r="H268" s="2">
        <v>6.5703E-6</v>
      </c>
      <c r="I268" s="1">
        <v>132.0</v>
      </c>
    </row>
    <row r="269">
      <c r="A269" s="1" t="s">
        <v>444</v>
      </c>
      <c r="B269" s="1" t="s">
        <v>442</v>
      </c>
      <c r="C269" s="1" t="s">
        <v>445</v>
      </c>
      <c r="D269" s="1">
        <v>23.0</v>
      </c>
      <c r="E269" s="1" t="s">
        <v>403</v>
      </c>
      <c r="F269" s="1">
        <v>0.09909</v>
      </c>
      <c r="G269" s="1">
        <v>0.2559</v>
      </c>
      <c r="H269" s="2">
        <v>6.5703E-6</v>
      </c>
      <c r="I269" s="1">
        <v>132.0</v>
      </c>
    </row>
    <row r="270">
      <c r="A270" s="1" t="s">
        <v>446</v>
      </c>
      <c r="B270" s="1" t="s">
        <v>442</v>
      </c>
      <c r="C270" s="1" t="s">
        <v>445</v>
      </c>
      <c r="D270" s="1">
        <v>23.0</v>
      </c>
      <c r="E270" s="1" t="s">
        <v>403</v>
      </c>
      <c r="F270" s="1">
        <v>0.09909</v>
      </c>
      <c r="G270" s="1">
        <v>0.2559</v>
      </c>
      <c r="H270" s="2">
        <v>6.5703E-6</v>
      </c>
      <c r="I270" s="1">
        <v>132.0</v>
      </c>
    </row>
    <row r="271">
      <c r="A271" s="1" t="s">
        <v>447</v>
      </c>
      <c r="B271" s="1" t="s">
        <v>445</v>
      </c>
      <c r="C271" s="1" t="s">
        <v>448</v>
      </c>
      <c r="D271" s="1">
        <v>28.0</v>
      </c>
      <c r="E271" s="1" t="s">
        <v>403</v>
      </c>
      <c r="F271" s="1">
        <v>0.09909</v>
      </c>
      <c r="G271" s="1">
        <v>0.2559</v>
      </c>
      <c r="H271" s="2">
        <v>6.5703E-6</v>
      </c>
      <c r="I271" s="1">
        <v>132.0</v>
      </c>
    </row>
    <row r="272">
      <c r="A272" s="1" t="s">
        <v>449</v>
      </c>
      <c r="B272" s="1" t="s">
        <v>445</v>
      </c>
      <c r="C272" s="1" t="s">
        <v>448</v>
      </c>
      <c r="D272" s="1">
        <v>28.0</v>
      </c>
      <c r="E272" s="1" t="s">
        <v>403</v>
      </c>
      <c r="F272" s="1">
        <v>0.09909</v>
      </c>
      <c r="G272" s="1">
        <v>0.2559</v>
      </c>
      <c r="H272" s="2">
        <v>6.5703E-6</v>
      </c>
      <c r="I272" s="1">
        <v>132.0</v>
      </c>
    </row>
    <row r="273">
      <c r="A273" s="1" t="s">
        <v>450</v>
      </c>
      <c r="B273" s="1" t="s">
        <v>448</v>
      </c>
      <c r="C273" s="1" t="s">
        <v>451</v>
      </c>
      <c r="D273" s="1">
        <v>32.0</v>
      </c>
      <c r="E273" s="1" t="s">
        <v>403</v>
      </c>
      <c r="F273" s="1">
        <v>0.09909</v>
      </c>
      <c r="G273" s="1">
        <v>0.2559</v>
      </c>
      <c r="H273" s="2">
        <v>6.5703E-6</v>
      </c>
      <c r="I273" s="1">
        <v>132.0</v>
      </c>
    </row>
    <row r="274">
      <c r="A274" s="1" t="s">
        <v>452</v>
      </c>
      <c r="B274" s="1" t="s">
        <v>448</v>
      </c>
      <c r="C274" s="1" t="s">
        <v>451</v>
      </c>
      <c r="D274" s="1">
        <v>32.0</v>
      </c>
      <c r="E274" s="1" t="s">
        <v>403</v>
      </c>
      <c r="F274" s="1">
        <v>0.09909</v>
      </c>
      <c r="G274" s="1">
        <v>0.2559</v>
      </c>
      <c r="H274" s="2">
        <v>6.5703E-6</v>
      </c>
      <c r="I274" s="1">
        <v>132.0</v>
      </c>
    </row>
    <row r="275">
      <c r="A275" s="1" t="s">
        <v>453</v>
      </c>
      <c r="B275" s="1" t="s">
        <v>451</v>
      </c>
      <c r="C275" s="1" t="s">
        <v>454</v>
      </c>
      <c r="D275" s="1">
        <v>15.5</v>
      </c>
      <c r="E275" s="1" t="s">
        <v>403</v>
      </c>
      <c r="F275" s="1"/>
      <c r="G275" s="1"/>
      <c r="H275" s="2"/>
      <c r="I275" s="1"/>
    </row>
    <row r="276">
      <c r="A276" s="1" t="s">
        <v>455</v>
      </c>
      <c r="B276" s="1" t="s">
        <v>451</v>
      </c>
      <c r="C276" s="1" t="s">
        <v>454</v>
      </c>
      <c r="D276" s="1">
        <v>15.5</v>
      </c>
      <c r="E276" s="1" t="s">
        <v>403</v>
      </c>
      <c r="F276" s="1"/>
      <c r="G276" s="1"/>
      <c r="H276" s="2"/>
      <c r="I276" s="1"/>
    </row>
    <row r="277">
      <c r="A277" s="1" t="s">
        <v>456</v>
      </c>
      <c r="B277" s="1" t="s">
        <v>457</v>
      </c>
      <c r="C277" s="1" t="s">
        <v>458</v>
      </c>
      <c r="D277" s="1">
        <v>43.0</v>
      </c>
      <c r="E277" s="1" t="s">
        <v>403</v>
      </c>
      <c r="F277" s="1">
        <v>0.082575</v>
      </c>
      <c r="G277" s="1">
        <v>0.2559</v>
      </c>
      <c r="H277" s="2">
        <v>6.5703E-6</v>
      </c>
      <c r="I277" s="1">
        <v>132.0</v>
      </c>
    </row>
    <row r="278">
      <c r="A278" s="1" t="s">
        <v>459</v>
      </c>
      <c r="B278" s="1" t="s">
        <v>457</v>
      </c>
      <c r="C278" s="1" t="s">
        <v>458</v>
      </c>
      <c r="D278" s="1">
        <v>43.0</v>
      </c>
      <c r="E278" s="1" t="s">
        <v>403</v>
      </c>
      <c r="F278" s="1">
        <v>0.082575</v>
      </c>
      <c r="G278" s="1">
        <v>0.2559</v>
      </c>
      <c r="H278" s="2">
        <v>6.5703E-6</v>
      </c>
      <c r="I278" s="1">
        <v>132.0</v>
      </c>
    </row>
    <row r="279">
      <c r="A279" s="1" t="s">
        <v>460</v>
      </c>
      <c r="B279" s="1" t="s">
        <v>458</v>
      </c>
      <c r="C279" s="1" t="s">
        <v>461</v>
      </c>
      <c r="D279" s="1">
        <v>23.0</v>
      </c>
      <c r="E279" s="1" t="s">
        <v>403</v>
      </c>
      <c r="F279" s="1">
        <v>0.08808</v>
      </c>
      <c r="G279" s="1">
        <v>0.2559</v>
      </c>
      <c r="H279" s="2">
        <v>6.5703E-6</v>
      </c>
      <c r="I279" s="1">
        <v>132.0</v>
      </c>
    </row>
    <row r="280">
      <c r="A280" s="1" t="s">
        <v>462</v>
      </c>
      <c r="B280" s="1" t="s">
        <v>458</v>
      </c>
      <c r="C280" s="1" t="s">
        <v>461</v>
      </c>
      <c r="D280" s="1">
        <v>23.0</v>
      </c>
      <c r="E280" s="1" t="s">
        <v>403</v>
      </c>
      <c r="F280" s="1">
        <v>0.08808</v>
      </c>
      <c r="G280" s="1">
        <v>0.2559</v>
      </c>
      <c r="H280" s="2">
        <v>6.5703E-6</v>
      </c>
      <c r="I280" s="1">
        <v>132.0</v>
      </c>
    </row>
    <row r="281">
      <c r="A281" s="1" t="s">
        <v>463</v>
      </c>
      <c r="B281" s="1" t="s">
        <v>461</v>
      </c>
      <c r="C281" s="1" t="s">
        <v>464</v>
      </c>
      <c r="D281" s="1">
        <v>10.0</v>
      </c>
      <c r="E281" s="1" t="s">
        <v>403</v>
      </c>
      <c r="F281" s="1">
        <v>0.09909</v>
      </c>
      <c r="G281" s="1">
        <v>0.2559</v>
      </c>
      <c r="H281" s="2">
        <v>6.5703E-6</v>
      </c>
      <c r="I281" s="1">
        <v>132.0</v>
      </c>
    </row>
    <row r="282">
      <c r="A282" s="1" t="s">
        <v>465</v>
      </c>
      <c r="B282" s="1" t="s">
        <v>461</v>
      </c>
      <c r="C282" s="1" t="s">
        <v>464</v>
      </c>
      <c r="D282" s="1">
        <v>10.0</v>
      </c>
      <c r="E282" s="1" t="s">
        <v>403</v>
      </c>
      <c r="F282" s="1">
        <v>0.09909</v>
      </c>
      <c r="G282" s="1">
        <v>0.2559</v>
      </c>
      <c r="H282" s="2">
        <v>6.5703E-6</v>
      </c>
      <c r="I282" s="1">
        <v>132.0</v>
      </c>
    </row>
    <row r="283">
      <c r="A283" s="1" t="s">
        <v>466</v>
      </c>
      <c r="B283" s="1" t="s">
        <v>464</v>
      </c>
      <c r="C283" s="1" t="s">
        <v>467</v>
      </c>
      <c r="D283" s="1">
        <v>42.0</v>
      </c>
      <c r="E283" s="1" t="s">
        <v>403</v>
      </c>
      <c r="F283" s="1">
        <v>0.09909</v>
      </c>
      <c r="G283" s="1">
        <v>0.2559</v>
      </c>
      <c r="H283" s="2">
        <v>6.5703E-6</v>
      </c>
      <c r="I283" s="1">
        <v>132.0</v>
      </c>
    </row>
    <row r="284">
      <c r="A284" s="1" t="s">
        <v>468</v>
      </c>
      <c r="B284" s="1" t="s">
        <v>464</v>
      </c>
      <c r="C284" s="1" t="s">
        <v>467</v>
      </c>
      <c r="D284" s="1">
        <v>42.0</v>
      </c>
      <c r="E284" s="1" t="s">
        <v>403</v>
      </c>
      <c r="F284" s="1">
        <v>0.09909</v>
      </c>
      <c r="G284" s="1">
        <v>0.2559</v>
      </c>
      <c r="H284" s="2">
        <v>6.5703E-6</v>
      </c>
      <c r="I284" s="1">
        <v>132.0</v>
      </c>
    </row>
    <row r="285">
      <c r="A285" s="1" t="s">
        <v>469</v>
      </c>
      <c r="B285" s="1" t="s">
        <v>467</v>
      </c>
      <c r="C285" s="1" t="s">
        <v>470</v>
      </c>
      <c r="D285" s="1">
        <v>61.0</v>
      </c>
      <c r="E285" s="1" t="s">
        <v>403</v>
      </c>
      <c r="F285" s="1">
        <v>0.09909</v>
      </c>
      <c r="G285" s="1">
        <v>0.2559</v>
      </c>
      <c r="H285" s="2">
        <v>6.5703E-6</v>
      </c>
      <c r="I285" s="1">
        <v>132.0</v>
      </c>
    </row>
    <row r="286">
      <c r="A286" s="1" t="s">
        <v>471</v>
      </c>
      <c r="B286" s="1" t="s">
        <v>467</v>
      </c>
      <c r="C286" s="1" t="s">
        <v>470</v>
      </c>
      <c r="D286" s="1">
        <v>61.0</v>
      </c>
      <c r="E286" s="1" t="s">
        <v>403</v>
      </c>
      <c r="F286" s="1">
        <v>0.09909</v>
      </c>
      <c r="G286" s="1">
        <v>0.2559</v>
      </c>
      <c r="H286" s="2">
        <v>6.5703E-6</v>
      </c>
      <c r="I286" s="1">
        <v>132.0</v>
      </c>
    </row>
    <row r="287">
      <c r="A287" s="1" t="s">
        <v>472</v>
      </c>
      <c r="B287" s="1" t="s">
        <v>470</v>
      </c>
      <c r="C287" s="1" t="s">
        <v>473</v>
      </c>
      <c r="D287" s="3">
        <v>10.0</v>
      </c>
      <c r="E287" s="1" t="s">
        <v>403</v>
      </c>
      <c r="F287" s="1">
        <v>0.09909</v>
      </c>
      <c r="G287" s="1">
        <v>0.2559</v>
      </c>
      <c r="H287" s="2">
        <v>6.5703E-6</v>
      </c>
      <c r="I287" s="1">
        <v>132.0</v>
      </c>
    </row>
    <row r="288">
      <c r="A288" s="1" t="s">
        <v>474</v>
      </c>
      <c r="B288" s="1" t="s">
        <v>470</v>
      </c>
      <c r="C288" s="1" t="s">
        <v>473</v>
      </c>
      <c r="D288" s="3">
        <v>10.0</v>
      </c>
      <c r="E288" s="1" t="s">
        <v>403</v>
      </c>
      <c r="F288" s="1">
        <v>0.09909</v>
      </c>
      <c r="G288" s="1">
        <v>0.2559</v>
      </c>
      <c r="H288" s="2">
        <v>6.5703E-6</v>
      </c>
      <c r="I288" s="1">
        <v>132.0</v>
      </c>
    </row>
    <row r="289">
      <c r="A289" s="1" t="s">
        <v>475</v>
      </c>
      <c r="B289" s="1" t="s">
        <v>473</v>
      </c>
      <c r="C289" s="1" t="s">
        <v>476</v>
      </c>
      <c r="D289" s="3">
        <v>40.0</v>
      </c>
      <c r="E289" s="1" t="s">
        <v>403</v>
      </c>
      <c r="F289" s="1">
        <v>0.1101</v>
      </c>
      <c r="G289" s="1">
        <v>0.2559</v>
      </c>
      <c r="H289" s="2">
        <v>6.5703E-6</v>
      </c>
      <c r="I289" s="1">
        <v>132.0</v>
      </c>
    </row>
    <row r="290">
      <c r="A290" s="1" t="s">
        <v>477</v>
      </c>
      <c r="B290" s="1" t="s">
        <v>473</v>
      </c>
      <c r="C290" s="1" t="s">
        <v>476</v>
      </c>
      <c r="D290" s="3">
        <v>40.0</v>
      </c>
      <c r="E290" s="1" t="s">
        <v>403</v>
      </c>
      <c r="F290" s="1">
        <v>0.1101</v>
      </c>
      <c r="G290" s="1">
        <v>0.2559</v>
      </c>
      <c r="H290" s="2">
        <v>6.5703E-6</v>
      </c>
      <c r="I290" s="1">
        <v>132.0</v>
      </c>
    </row>
    <row r="291">
      <c r="A291" s="1" t="s">
        <v>478</v>
      </c>
      <c r="B291" s="1" t="s">
        <v>476</v>
      </c>
      <c r="C291" s="1" t="s">
        <v>479</v>
      </c>
      <c r="D291" s="3">
        <v>30.0</v>
      </c>
      <c r="E291" s="1" t="s">
        <v>403</v>
      </c>
      <c r="F291" s="1"/>
      <c r="G291" s="1"/>
      <c r="H291" s="2"/>
      <c r="I291" s="1"/>
    </row>
    <row r="292">
      <c r="A292" s="1" t="s">
        <v>480</v>
      </c>
      <c r="B292" s="1" t="s">
        <v>476</v>
      </c>
      <c r="C292" s="1" t="s">
        <v>479</v>
      </c>
      <c r="D292" s="3">
        <v>30.0</v>
      </c>
      <c r="E292" s="1" t="s">
        <v>403</v>
      </c>
      <c r="F292" s="1"/>
      <c r="G292" s="1"/>
      <c r="H292" s="2"/>
      <c r="I292" s="1"/>
    </row>
    <row r="293">
      <c r="A293" s="1" t="s">
        <v>481</v>
      </c>
      <c r="B293" s="1" t="s">
        <v>479</v>
      </c>
      <c r="C293" s="1" t="s">
        <v>482</v>
      </c>
      <c r="D293" s="3">
        <v>15.0</v>
      </c>
      <c r="E293" s="1" t="s">
        <v>403</v>
      </c>
      <c r="F293" s="1"/>
      <c r="G293" s="1"/>
      <c r="H293" s="2"/>
      <c r="I293" s="1"/>
    </row>
    <row r="294">
      <c r="A294" s="1" t="s">
        <v>483</v>
      </c>
      <c r="B294" s="1" t="s">
        <v>479</v>
      </c>
      <c r="C294" s="1" t="s">
        <v>482</v>
      </c>
      <c r="D294" s="3">
        <v>15.0</v>
      </c>
      <c r="E294" s="1" t="s">
        <v>403</v>
      </c>
      <c r="F294" s="1"/>
      <c r="G294" s="1"/>
      <c r="H294" s="2"/>
      <c r="I294" s="1"/>
    </row>
    <row r="295">
      <c r="A295" s="1" t="s">
        <v>484</v>
      </c>
      <c r="B295" s="1" t="s">
        <v>482</v>
      </c>
      <c r="C295" s="1" t="s">
        <v>485</v>
      </c>
      <c r="D295" s="3">
        <v>9.0</v>
      </c>
      <c r="E295" s="1" t="s">
        <v>403</v>
      </c>
      <c r="F295" s="1"/>
      <c r="G295" s="1"/>
      <c r="H295" s="2"/>
      <c r="I295" s="1"/>
    </row>
    <row r="296">
      <c r="A296" s="1" t="s">
        <v>486</v>
      </c>
      <c r="B296" s="1" t="s">
        <v>482</v>
      </c>
      <c r="C296" s="1" t="s">
        <v>485</v>
      </c>
      <c r="D296" s="3">
        <v>9.0</v>
      </c>
      <c r="E296" s="1" t="s">
        <v>403</v>
      </c>
      <c r="F296" s="1"/>
      <c r="G296" s="1"/>
      <c r="H296" s="2"/>
      <c r="I296" s="1"/>
    </row>
    <row r="297">
      <c r="A297" s="1" t="s">
        <v>487</v>
      </c>
      <c r="B297" s="1" t="s">
        <v>485</v>
      </c>
      <c r="C297" s="1" t="s">
        <v>488</v>
      </c>
      <c r="D297" s="3">
        <v>19.0</v>
      </c>
      <c r="E297" s="1" t="s">
        <v>403</v>
      </c>
      <c r="F297" s="1">
        <v>0.09909</v>
      </c>
      <c r="G297" s="1">
        <v>0.2559</v>
      </c>
      <c r="H297" s="2">
        <v>6.5703E-6</v>
      </c>
      <c r="I297" s="1">
        <v>132.0</v>
      </c>
    </row>
    <row r="298">
      <c r="A298" s="1" t="s">
        <v>489</v>
      </c>
      <c r="B298" s="1" t="s">
        <v>485</v>
      </c>
      <c r="C298" s="1" t="s">
        <v>488</v>
      </c>
      <c r="D298" s="3">
        <v>19.0</v>
      </c>
      <c r="E298" s="1" t="s">
        <v>403</v>
      </c>
      <c r="F298" s="1">
        <v>0.09909</v>
      </c>
      <c r="G298" s="1">
        <v>0.2559</v>
      </c>
      <c r="H298" s="2">
        <v>6.5703E-6</v>
      </c>
      <c r="I298" s="1">
        <v>132.0</v>
      </c>
    </row>
    <row r="299">
      <c r="A299" s="1" t="s">
        <v>490</v>
      </c>
      <c r="B299" s="1" t="s">
        <v>488</v>
      </c>
      <c r="C299" s="1" t="s">
        <v>491</v>
      </c>
      <c r="D299" s="3">
        <v>21.5</v>
      </c>
      <c r="E299" s="1" t="s">
        <v>403</v>
      </c>
      <c r="F299" s="1"/>
      <c r="G299" s="1"/>
      <c r="H299" s="2"/>
      <c r="I299" s="1"/>
    </row>
    <row r="300">
      <c r="A300" s="1" t="s">
        <v>492</v>
      </c>
      <c r="B300" s="1" t="s">
        <v>488</v>
      </c>
      <c r="C300" s="1" t="s">
        <v>491</v>
      </c>
      <c r="D300" s="3">
        <v>21.5</v>
      </c>
      <c r="E300" s="1" t="s">
        <v>403</v>
      </c>
      <c r="F300" s="1"/>
      <c r="G300" s="1"/>
      <c r="H300" s="2"/>
      <c r="I300" s="1"/>
    </row>
    <row r="301">
      <c r="A301" s="1" t="s">
        <v>493</v>
      </c>
      <c r="B301" s="1" t="s">
        <v>491</v>
      </c>
      <c r="C301" s="1" t="s">
        <v>494</v>
      </c>
      <c r="D301" s="1">
        <v>24.5</v>
      </c>
      <c r="E301" s="1" t="s">
        <v>403</v>
      </c>
      <c r="F301" s="1">
        <v>0.08808</v>
      </c>
      <c r="G301" s="1">
        <v>0.2559</v>
      </c>
      <c r="H301" s="2">
        <v>6.5703E-6</v>
      </c>
      <c r="I301" s="1">
        <v>132.0</v>
      </c>
    </row>
    <row r="302">
      <c r="A302" s="1" t="s">
        <v>495</v>
      </c>
      <c r="B302" s="1" t="s">
        <v>491</v>
      </c>
      <c r="C302" s="1" t="s">
        <v>494</v>
      </c>
      <c r="D302" s="1">
        <v>24.5</v>
      </c>
      <c r="E302" s="1" t="s">
        <v>403</v>
      </c>
      <c r="F302" s="1">
        <v>0.08808</v>
      </c>
      <c r="G302" s="1">
        <v>0.2559</v>
      </c>
      <c r="H302" s="2">
        <v>6.5703E-6</v>
      </c>
      <c r="I302" s="1">
        <v>132.0</v>
      </c>
    </row>
    <row r="303">
      <c r="A303" s="1" t="s">
        <v>496</v>
      </c>
      <c r="B303" s="1" t="s">
        <v>494</v>
      </c>
      <c r="C303" s="1" t="s">
        <v>497</v>
      </c>
      <c r="D303" s="1">
        <v>45.0</v>
      </c>
      <c r="E303" s="1" t="s">
        <v>403</v>
      </c>
      <c r="F303" s="1">
        <v>0.09909</v>
      </c>
      <c r="G303" s="1">
        <v>0.2559</v>
      </c>
      <c r="H303" s="2">
        <v>6.5703E-6</v>
      </c>
      <c r="I303" s="1">
        <v>132.0</v>
      </c>
    </row>
    <row r="304">
      <c r="A304" s="1" t="s">
        <v>498</v>
      </c>
      <c r="B304" s="1" t="s">
        <v>494</v>
      </c>
      <c r="C304" s="1" t="s">
        <v>497</v>
      </c>
      <c r="D304" s="1">
        <v>45.0</v>
      </c>
      <c r="E304" s="1" t="s">
        <v>403</v>
      </c>
      <c r="F304" s="1">
        <v>0.09909</v>
      </c>
      <c r="G304" s="1">
        <v>0.2559</v>
      </c>
      <c r="H304" s="2">
        <v>6.5703E-6</v>
      </c>
      <c r="I304" s="1">
        <v>132.0</v>
      </c>
    </row>
    <row r="305">
      <c r="A305" s="1" t="s">
        <v>499</v>
      </c>
      <c r="B305" s="1" t="s">
        <v>485</v>
      </c>
      <c r="C305" s="1" t="s">
        <v>500</v>
      </c>
      <c r="D305" s="1">
        <v>35.7</v>
      </c>
      <c r="E305" s="1" t="s">
        <v>308</v>
      </c>
      <c r="F305" s="1"/>
      <c r="G305" s="1"/>
      <c r="H305" s="2"/>
      <c r="I305" s="1"/>
    </row>
    <row r="306">
      <c r="A306" s="1" t="s">
        <v>501</v>
      </c>
      <c r="B306" s="1" t="s">
        <v>485</v>
      </c>
      <c r="C306" s="1" t="s">
        <v>500</v>
      </c>
      <c r="D306" s="1">
        <v>35.7</v>
      </c>
      <c r="E306" s="1" t="s">
        <v>308</v>
      </c>
      <c r="F306" s="1"/>
      <c r="G306" s="1"/>
      <c r="H306" s="2"/>
      <c r="I306" s="1"/>
    </row>
    <row r="307">
      <c r="A307" s="1" t="s">
        <v>502</v>
      </c>
      <c r="B307" s="1" t="s">
        <v>503</v>
      </c>
      <c r="C307" s="1" t="s">
        <v>504</v>
      </c>
      <c r="D307" s="1">
        <v>49.0</v>
      </c>
      <c r="E307" s="1" t="s">
        <v>505</v>
      </c>
      <c r="F307" s="1">
        <v>0.1466</v>
      </c>
      <c r="G307" s="1">
        <v>0.2671</v>
      </c>
      <c r="H307" s="2">
        <v>6.2854E-6</v>
      </c>
      <c r="I307" s="1">
        <v>132.0</v>
      </c>
    </row>
    <row r="308">
      <c r="A308" s="1" t="s">
        <v>506</v>
      </c>
      <c r="B308" s="1" t="s">
        <v>504</v>
      </c>
      <c r="C308" s="1" t="s">
        <v>507</v>
      </c>
      <c r="D308" s="1">
        <v>40.0</v>
      </c>
      <c r="E308" s="1" t="s">
        <v>505</v>
      </c>
      <c r="F308" s="1">
        <v>0.1466</v>
      </c>
      <c r="G308" s="1">
        <v>0.2671</v>
      </c>
      <c r="H308" s="2">
        <v>6.2854E-6</v>
      </c>
      <c r="I308" s="1">
        <v>132.0</v>
      </c>
    </row>
    <row r="309">
      <c r="A309" s="1" t="s">
        <v>508</v>
      </c>
      <c r="B309" s="1" t="s">
        <v>507</v>
      </c>
      <c r="C309" s="1" t="s">
        <v>509</v>
      </c>
      <c r="D309" s="1">
        <v>28.0</v>
      </c>
      <c r="E309" s="1" t="s">
        <v>505</v>
      </c>
      <c r="F309" s="1">
        <v>0.1466</v>
      </c>
      <c r="G309" s="1">
        <v>0.2671</v>
      </c>
      <c r="H309" s="2">
        <v>6.2854E-6</v>
      </c>
      <c r="I309" s="1">
        <v>132.0</v>
      </c>
    </row>
    <row r="310">
      <c r="A310" s="1" t="s">
        <v>510</v>
      </c>
      <c r="B310" s="1" t="s">
        <v>503</v>
      </c>
      <c r="C310" s="1" t="s">
        <v>511</v>
      </c>
      <c r="D310" s="1">
        <v>18.0</v>
      </c>
      <c r="E310" s="1" t="s">
        <v>505</v>
      </c>
      <c r="F310" s="1">
        <v>0.1466</v>
      </c>
      <c r="G310" s="1">
        <v>0.2671</v>
      </c>
      <c r="H310" s="2">
        <v>6.2854E-6</v>
      </c>
      <c r="I310" s="1">
        <v>132.0</v>
      </c>
    </row>
    <row r="311">
      <c r="A311" s="1" t="s">
        <v>512</v>
      </c>
      <c r="B311" s="1" t="s">
        <v>511</v>
      </c>
      <c r="C311" s="1" t="s">
        <v>513</v>
      </c>
      <c r="D311" s="1">
        <v>20.0</v>
      </c>
      <c r="E311" s="1" t="s">
        <v>505</v>
      </c>
      <c r="F311" s="1"/>
      <c r="G311" s="1"/>
      <c r="H311" s="2"/>
      <c r="I311" s="1"/>
    </row>
    <row r="312">
      <c r="A312" s="1" t="s">
        <v>514</v>
      </c>
      <c r="B312" s="1" t="s">
        <v>461</v>
      </c>
      <c r="C312" s="1" t="s">
        <v>515</v>
      </c>
      <c r="D312" s="1">
        <v>105.0</v>
      </c>
      <c r="E312" s="1" t="s">
        <v>505</v>
      </c>
      <c r="F312" s="1">
        <v>0.11728</v>
      </c>
      <c r="G312" s="1">
        <v>0.2671</v>
      </c>
      <c r="H312" s="2">
        <v>6.2854E-6</v>
      </c>
      <c r="I312" s="1">
        <v>132.0</v>
      </c>
    </row>
    <row r="313">
      <c r="A313" s="1" t="s">
        <v>516</v>
      </c>
      <c r="B313" s="1" t="s">
        <v>461</v>
      </c>
      <c r="C313" s="1" t="s">
        <v>515</v>
      </c>
      <c r="D313" s="1">
        <v>105.0</v>
      </c>
      <c r="E313" s="1" t="s">
        <v>505</v>
      </c>
      <c r="F313" s="1">
        <v>0.11728</v>
      </c>
      <c r="G313" s="1">
        <v>0.2671</v>
      </c>
      <c r="H313" s="2">
        <v>6.2854E-6</v>
      </c>
      <c r="I313" s="1">
        <v>132.0</v>
      </c>
    </row>
    <row r="314">
      <c r="A314" s="1" t="s">
        <v>517</v>
      </c>
      <c r="B314" s="1" t="s">
        <v>515</v>
      </c>
      <c r="C314" s="1" t="s">
        <v>518</v>
      </c>
      <c r="D314" s="1">
        <v>65.5</v>
      </c>
      <c r="E314" s="1" t="s">
        <v>505</v>
      </c>
      <c r="F314" s="1">
        <v>0.1466</v>
      </c>
      <c r="G314" s="1">
        <v>0.2671</v>
      </c>
      <c r="H314" s="2">
        <v>6.2854E-6</v>
      </c>
      <c r="I314" s="1">
        <v>132.0</v>
      </c>
    </row>
    <row r="315">
      <c r="A315" s="1" t="s">
        <v>519</v>
      </c>
      <c r="B315" s="1" t="s">
        <v>515</v>
      </c>
      <c r="C315" s="1" t="s">
        <v>518</v>
      </c>
      <c r="D315" s="1">
        <v>65.5</v>
      </c>
      <c r="E315" s="1" t="s">
        <v>505</v>
      </c>
      <c r="F315" s="1">
        <v>0.1466</v>
      </c>
      <c r="G315" s="1">
        <v>0.2671</v>
      </c>
      <c r="H315" s="2">
        <v>6.2854E-6</v>
      </c>
      <c r="I315" s="1">
        <v>132.0</v>
      </c>
    </row>
    <row r="316">
      <c r="A316" s="1" t="s">
        <v>520</v>
      </c>
      <c r="B316" s="1" t="s">
        <v>518</v>
      </c>
      <c r="C316" s="1" t="s">
        <v>521</v>
      </c>
      <c r="D316" s="1">
        <v>48.5</v>
      </c>
      <c r="E316" s="1" t="s">
        <v>505</v>
      </c>
      <c r="F316" s="1">
        <v>0.1466</v>
      </c>
      <c r="G316" s="1">
        <v>0.2671</v>
      </c>
      <c r="H316" s="2">
        <v>6.2854E-6</v>
      </c>
      <c r="I316" s="1">
        <v>132.0</v>
      </c>
    </row>
    <row r="317">
      <c r="A317" s="1" t="s">
        <v>522</v>
      </c>
      <c r="B317" s="1" t="s">
        <v>518</v>
      </c>
      <c r="C317" s="1" t="s">
        <v>521</v>
      </c>
      <c r="D317" s="1">
        <v>48.5</v>
      </c>
      <c r="E317" s="1" t="s">
        <v>505</v>
      </c>
      <c r="F317" s="1">
        <v>0.1466</v>
      </c>
      <c r="G317" s="1">
        <v>0.2671</v>
      </c>
      <c r="H317" s="2">
        <v>6.2854E-6</v>
      </c>
      <c r="I317" s="1">
        <v>132.0</v>
      </c>
    </row>
    <row r="318">
      <c r="A318" s="1" t="s">
        <v>523</v>
      </c>
      <c r="B318" s="1" t="s">
        <v>521</v>
      </c>
      <c r="C318" s="1" t="s">
        <v>503</v>
      </c>
      <c r="D318" s="1">
        <v>10.0</v>
      </c>
      <c r="E318" s="1" t="s">
        <v>505</v>
      </c>
      <c r="F318" s="1">
        <v>0.11728</v>
      </c>
      <c r="G318" s="1">
        <v>0.2671</v>
      </c>
      <c r="H318" s="2">
        <v>6.2854E-6</v>
      </c>
      <c r="I318" s="1">
        <v>132.0</v>
      </c>
    </row>
    <row r="319">
      <c r="A319" s="1" t="s">
        <v>524</v>
      </c>
      <c r="B319" s="1" t="s">
        <v>521</v>
      </c>
      <c r="C319" s="1" t="s">
        <v>503</v>
      </c>
      <c r="D319" s="1">
        <v>10.0</v>
      </c>
      <c r="E319" s="1" t="s">
        <v>505</v>
      </c>
      <c r="F319" s="1">
        <v>0.11728</v>
      </c>
      <c r="G319" s="1">
        <v>0.2671</v>
      </c>
      <c r="H319" s="2">
        <v>6.2854E-6</v>
      </c>
      <c r="I319" s="1">
        <v>132.0</v>
      </c>
    </row>
    <row r="320">
      <c r="A320" s="1" t="s">
        <v>525</v>
      </c>
      <c r="B320" s="1" t="s">
        <v>526</v>
      </c>
      <c r="C320" s="1" t="s">
        <v>467</v>
      </c>
      <c r="D320" s="1">
        <v>37.0</v>
      </c>
      <c r="E320" s="1" t="s">
        <v>505</v>
      </c>
      <c r="F320" s="1">
        <v>0.1466</v>
      </c>
      <c r="G320" s="1">
        <v>0.2671</v>
      </c>
      <c r="H320" s="2">
        <v>6.2854E-6</v>
      </c>
      <c r="I320" s="1">
        <v>132.0</v>
      </c>
    </row>
    <row r="321">
      <c r="A321" s="1" t="s">
        <v>527</v>
      </c>
      <c r="B321" s="1" t="s">
        <v>464</v>
      </c>
      <c r="C321" s="1" t="s">
        <v>528</v>
      </c>
      <c r="D321" s="1">
        <v>63.0</v>
      </c>
      <c r="E321" s="1" t="s">
        <v>505</v>
      </c>
      <c r="F321" s="1">
        <v>0.1466</v>
      </c>
      <c r="G321" s="1">
        <v>0.2671</v>
      </c>
      <c r="H321" s="2">
        <v>6.2854E-6</v>
      </c>
      <c r="I321" s="1">
        <v>132.0</v>
      </c>
    </row>
    <row r="322">
      <c r="A322" s="1" t="s">
        <v>529</v>
      </c>
      <c r="B322" s="1" t="s">
        <v>528</v>
      </c>
      <c r="C322" s="1" t="s">
        <v>530</v>
      </c>
      <c r="D322" s="1">
        <v>5.0</v>
      </c>
      <c r="E322" s="1" t="s">
        <v>505</v>
      </c>
      <c r="F322" s="1">
        <v>0.1466</v>
      </c>
      <c r="G322" s="1">
        <v>0.2671</v>
      </c>
      <c r="H322" s="2">
        <v>6.2854E-6</v>
      </c>
      <c r="I322" s="1">
        <v>132.0</v>
      </c>
    </row>
    <row r="323">
      <c r="A323" s="1" t="s">
        <v>531</v>
      </c>
      <c r="B323" s="1" t="s">
        <v>528</v>
      </c>
      <c r="C323" s="1" t="s">
        <v>530</v>
      </c>
      <c r="D323" s="1">
        <v>5.0</v>
      </c>
      <c r="E323" s="1" t="s">
        <v>505</v>
      </c>
      <c r="F323" s="1">
        <v>0.1466</v>
      </c>
      <c r="G323" s="1">
        <v>0.2671</v>
      </c>
      <c r="H323" s="2">
        <v>6.2854E-6</v>
      </c>
      <c r="I323" s="1">
        <v>132.0</v>
      </c>
    </row>
    <row r="324">
      <c r="A324" s="1" t="s">
        <v>532</v>
      </c>
      <c r="B324" s="1" t="s">
        <v>528</v>
      </c>
      <c r="C324" s="1" t="s">
        <v>533</v>
      </c>
      <c r="D324" s="3">
        <v>17.0</v>
      </c>
      <c r="E324" s="1" t="s">
        <v>308</v>
      </c>
      <c r="F324" s="1">
        <v>0.1466</v>
      </c>
      <c r="G324" s="1">
        <v>0.2671</v>
      </c>
      <c r="H324" s="2">
        <v>6.2854E-6</v>
      </c>
      <c r="I324" s="1">
        <v>132.0</v>
      </c>
    </row>
    <row r="325">
      <c r="A325" s="1" t="s">
        <v>534</v>
      </c>
      <c r="B325" s="1" t="s">
        <v>530</v>
      </c>
      <c r="C325" s="1" t="s">
        <v>533</v>
      </c>
      <c r="D325" s="3">
        <v>13.0</v>
      </c>
      <c r="E325" s="1" t="s">
        <v>308</v>
      </c>
      <c r="F325" s="1"/>
      <c r="G325" s="1"/>
      <c r="H325" s="2"/>
      <c r="I325" s="1"/>
    </row>
    <row r="326">
      <c r="A326" s="1" t="s">
        <v>535</v>
      </c>
      <c r="B326" s="1" t="s">
        <v>464</v>
      </c>
      <c r="C326" s="1" t="s">
        <v>536</v>
      </c>
      <c r="D326" s="1">
        <v>18.0</v>
      </c>
      <c r="E326" s="1" t="s">
        <v>308</v>
      </c>
      <c r="F326" s="1">
        <v>0.1101</v>
      </c>
      <c r="G326" s="1">
        <v>0.2559</v>
      </c>
      <c r="H326" s="2">
        <v>6.5703E-6</v>
      </c>
      <c r="I326" s="1">
        <v>132.0</v>
      </c>
    </row>
    <row r="327">
      <c r="A327" s="1" t="s">
        <v>537</v>
      </c>
      <c r="B327" s="1" t="s">
        <v>536</v>
      </c>
      <c r="C327" s="1" t="s">
        <v>530</v>
      </c>
      <c r="D327" s="1">
        <v>41.0</v>
      </c>
      <c r="E327" s="1" t="s">
        <v>308</v>
      </c>
      <c r="F327" s="1">
        <v>0.1101</v>
      </c>
      <c r="G327" s="1">
        <v>0.2559</v>
      </c>
      <c r="H327" s="2">
        <v>6.5703E-6</v>
      </c>
      <c r="I327" s="1">
        <v>132.0</v>
      </c>
    </row>
    <row r="328">
      <c r="A328" s="1" t="s">
        <v>538</v>
      </c>
      <c r="B328" s="1" t="s">
        <v>470</v>
      </c>
      <c r="C328" s="1" t="s">
        <v>539</v>
      </c>
      <c r="D328" s="1">
        <v>66.0</v>
      </c>
      <c r="E328" s="1" t="s">
        <v>308</v>
      </c>
      <c r="F328" s="1">
        <v>0.1101</v>
      </c>
      <c r="G328" s="1">
        <v>0.2559</v>
      </c>
      <c r="H328" s="2">
        <v>6.5703E-6</v>
      </c>
      <c r="I328" s="1">
        <v>132.0</v>
      </c>
    </row>
    <row r="329">
      <c r="A329" s="1" t="s">
        <v>540</v>
      </c>
      <c r="B329" s="1" t="s">
        <v>470</v>
      </c>
      <c r="C329" s="1" t="s">
        <v>539</v>
      </c>
      <c r="D329" s="1">
        <v>66.0</v>
      </c>
      <c r="E329" s="1" t="s">
        <v>308</v>
      </c>
      <c r="F329" s="1">
        <v>0.1101</v>
      </c>
      <c r="G329" s="1">
        <v>0.2559</v>
      </c>
      <c r="H329" s="2">
        <v>6.5703E-6</v>
      </c>
      <c r="I329" s="1">
        <v>132.0</v>
      </c>
    </row>
    <row r="330">
      <c r="A330" s="1" t="s">
        <v>541</v>
      </c>
      <c r="B330" s="1" t="s">
        <v>539</v>
      </c>
      <c r="C330" s="1" t="s">
        <v>530</v>
      </c>
      <c r="D330" s="1">
        <v>34.0</v>
      </c>
      <c r="E330" s="1" t="s">
        <v>308</v>
      </c>
      <c r="F330" s="1">
        <v>0.1101</v>
      </c>
      <c r="G330" s="1">
        <v>0.2559</v>
      </c>
      <c r="H330" s="2">
        <v>6.5703E-6</v>
      </c>
      <c r="I330" s="1">
        <v>132.0</v>
      </c>
    </row>
    <row r="331">
      <c r="A331" s="1" t="s">
        <v>542</v>
      </c>
      <c r="B331" s="1" t="s">
        <v>539</v>
      </c>
      <c r="C331" s="1" t="s">
        <v>528</v>
      </c>
      <c r="D331" s="1">
        <v>40.0</v>
      </c>
      <c r="E331" s="1" t="s">
        <v>308</v>
      </c>
      <c r="F331" s="1">
        <v>0.1101</v>
      </c>
      <c r="G331" s="1">
        <v>0.2559</v>
      </c>
      <c r="H331" s="2">
        <v>6.5703E-6</v>
      </c>
      <c r="I331" s="1">
        <v>132.0</v>
      </c>
    </row>
    <row r="332">
      <c r="A332" s="1" t="s">
        <v>543</v>
      </c>
      <c r="B332" s="1" t="s">
        <v>526</v>
      </c>
      <c r="C332" s="1" t="s">
        <v>544</v>
      </c>
      <c r="D332" s="9">
        <v>48.0</v>
      </c>
      <c r="E332" s="1" t="s">
        <v>308</v>
      </c>
      <c r="F332" s="1">
        <v>0.1101</v>
      </c>
      <c r="G332" s="1">
        <v>0.2559</v>
      </c>
      <c r="H332" s="2">
        <v>6.5703E-6</v>
      </c>
      <c r="I332" s="1">
        <v>132.0</v>
      </c>
    </row>
    <row r="333">
      <c r="A333" s="1" t="s">
        <v>545</v>
      </c>
      <c r="B333" s="1" t="s">
        <v>526</v>
      </c>
      <c r="C333" s="1" t="s">
        <v>544</v>
      </c>
      <c r="D333" s="9">
        <v>48.0</v>
      </c>
      <c r="E333" s="1" t="s">
        <v>308</v>
      </c>
      <c r="F333" s="1">
        <v>0.1101</v>
      </c>
      <c r="G333" s="1">
        <v>0.2559</v>
      </c>
      <c r="H333" s="2">
        <v>6.5703E-6</v>
      </c>
      <c r="I333" s="1">
        <v>132.0</v>
      </c>
    </row>
    <row r="334">
      <c r="A334" s="1" t="s">
        <v>546</v>
      </c>
      <c r="B334" s="1" t="s">
        <v>485</v>
      </c>
      <c r="C334" s="1" t="s">
        <v>547</v>
      </c>
      <c r="D334" s="1">
        <v>38.0</v>
      </c>
      <c r="E334" s="1" t="s">
        <v>308</v>
      </c>
      <c r="F334" s="1">
        <v>0.1101</v>
      </c>
      <c r="G334" s="1">
        <v>0.2559</v>
      </c>
      <c r="H334" s="2">
        <v>6.5703E-6</v>
      </c>
      <c r="I334" s="1">
        <v>132.0</v>
      </c>
    </row>
    <row r="335">
      <c r="A335" s="1" t="s">
        <v>548</v>
      </c>
      <c r="B335" s="1" t="s">
        <v>470</v>
      </c>
      <c r="C335" s="1" t="s">
        <v>549</v>
      </c>
      <c r="D335" s="1">
        <v>44.0</v>
      </c>
      <c r="E335" s="1" t="s">
        <v>308</v>
      </c>
      <c r="F335" s="1">
        <v>0.08808</v>
      </c>
      <c r="G335" s="1">
        <v>0.2559</v>
      </c>
      <c r="H335" s="2">
        <v>6.5703E-6</v>
      </c>
      <c r="I335" s="1">
        <v>132.0</v>
      </c>
    </row>
    <row r="336">
      <c r="A336" s="1" t="s">
        <v>550</v>
      </c>
      <c r="B336" s="1" t="s">
        <v>470</v>
      </c>
      <c r="C336" s="1" t="s">
        <v>549</v>
      </c>
      <c r="D336" s="1">
        <v>44.0</v>
      </c>
      <c r="E336" s="1" t="s">
        <v>308</v>
      </c>
      <c r="F336" s="1">
        <v>0.08808</v>
      </c>
      <c r="G336" s="1">
        <v>0.2559</v>
      </c>
      <c r="H336" s="2">
        <v>6.5703E-6</v>
      </c>
      <c r="I336" s="1">
        <v>132.0</v>
      </c>
    </row>
    <row r="337">
      <c r="A337" s="1" t="s">
        <v>551</v>
      </c>
      <c r="B337" s="1" t="s">
        <v>552</v>
      </c>
      <c r="C337" s="1" t="s">
        <v>553</v>
      </c>
      <c r="D337" s="1">
        <v>51.0</v>
      </c>
      <c r="E337" s="1" t="s">
        <v>308</v>
      </c>
      <c r="F337" s="1">
        <v>0.1101</v>
      </c>
      <c r="G337" s="1">
        <v>0.2559</v>
      </c>
      <c r="H337" s="2">
        <v>6.5703E-6</v>
      </c>
      <c r="I337" s="1">
        <v>132.0</v>
      </c>
    </row>
    <row r="338">
      <c r="A338" s="1" t="s">
        <v>554</v>
      </c>
      <c r="B338" s="1" t="s">
        <v>552</v>
      </c>
      <c r="C338" s="1" t="s">
        <v>553</v>
      </c>
      <c r="D338" s="1">
        <v>51.0</v>
      </c>
      <c r="E338" s="1" t="s">
        <v>308</v>
      </c>
      <c r="F338" s="1">
        <v>0.1101</v>
      </c>
      <c r="G338" s="1">
        <v>0.2559</v>
      </c>
      <c r="H338" s="2">
        <v>6.5703E-6</v>
      </c>
      <c r="I338" s="1">
        <v>132.0</v>
      </c>
    </row>
    <row r="339">
      <c r="A339" s="1" t="s">
        <v>555</v>
      </c>
      <c r="B339" s="1" t="s">
        <v>556</v>
      </c>
      <c r="C339" s="1" t="s">
        <v>557</v>
      </c>
      <c r="D339" s="1">
        <v>17.0</v>
      </c>
      <c r="E339" s="1" t="s">
        <v>308</v>
      </c>
      <c r="F339" s="1">
        <v>0.08808</v>
      </c>
      <c r="G339" s="1">
        <v>0.2559</v>
      </c>
      <c r="H339" s="2">
        <v>6.5703E-6</v>
      </c>
      <c r="I339" s="1">
        <v>132.0</v>
      </c>
    </row>
    <row r="340">
      <c r="A340" s="1" t="s">
        <v>558</v>
      </c>
      <c r="B340" s="1" t="s">
        <v>556</v>
      </c>
      <c r="C340" s="1" t="s">
        <v>559</v>
      </c>
      <c r="D340" s="1">
        <v>15.0</v>
      </c>
      <c r="E340" s="1" t="s">
        <v>308</v>
      </c>
      <c r="F340" s="1">
        <v>0.08808</v>
      </c>
      <c r="G340" s="1">
        <v>0.2559</v>
      </c>
      <c r="H340" s="2">
        <v>6.5703E-6</v>
      </c>
      <c r="I340" s="1">
        <v>132.0</v>
      </c>
    </row>
    <row r="341">
      <c r="A341" s="1" t="s">
        <v>560</v>
      </c>
      <c r="B341" s="1" t="s">
        <v>559</v>
      </c>
      <c r="C341" s="1" t="s">
        <v>557</v>
      </c>
      <c r="D341" s="1">
        <v>9.0</v>
      </c>
      <c r="E341" s="1" t="s">
        <v>308</v>
      </c>
      <c r="F341" s="1">
        <v>0.08808</v>
      </c>
      <c r="G341" s="1">
        <v>0.2559</v>
      </c>
      <c r="H341" s="2">
        <v>6.5703E-6</v>
      </c>
      <c r="I341" s="1">
        <v>132.0</v>
      </c>
    </row>
    <row r="342">
      <c r="A342" s="1" t="s">
        <v>561</v>
      </c>
      <c r="B342" s="1" t="s">
        <v>557</v>
      </c>
      <c r="C342" s="1" t="s">
        <v>562</v>
      </c>
      <c r="D342" s="1">
        <v>7.0</v>
      </c>
      <c r="E342" s="1" t="s">
        <v>308</v>
      </c>
      <c r="F342" s="1">
        <v>0.08808</v>
      </c>
      <c r="G342" s="1">
        <v>0.2559</v>
      </c>
      <c r="H342" s="2">
        <v>6.5703E-6</v>
      </c>
      <c r="I342" s="1">
        <v>132.0</v>
      </c>
    </row>
    <row r="343">
      <c r="A343" s="1" t="s">
        <v>563</v>
      </c>
      <c r="B343" s="1" t="s">
        <v>557</v>
      </c>
      <c r="C343" s="1" t="s">
        <v>562</v>
      </c>
      <c r="D343" s="1">
        <v>7.0</v>
      </c>
      <c r="E343" s="1" t="s">
        <v>308</v>
      </c>
      <c r="F343" s="1">
        <v>0.08808</v>
      </c>
      <c r="G343" s="1">
        <v>0.2559</v>
      </c>
      <c r="H343" s="2">
        <v>6.5703E-6</v>
      </c>
      <c r="I343" s="1">
        <v>132.0</v>
      </c>
    </row>
    <row r="344">
      <c r="A344" s="1" t="s">
        <v>564</v>
      </c>
      <c r="B344" s="1" t="s">
        <v>562</v>
      </c>
      <c r="C344" s="1" t="s">
        <v>565</v>
      </c>
      <c r="D344" s="1">
        <v>4.0</v>
      </c>
      <c r="E344" s="1" t="s">
        <v>308</v>
      </c>
      <c r="F344" s="1">
        <v>0.1101</v>
      </c>
      <c r="G344" s="1">
        <v>0.2559</v>
      </c>
      <c r="H344" s="2">
        <v>6.5703E-6</v>
      </c>
      <c r="I344" s="1">
        <v>132.0</v>
      </c>
    </row>
    <row r="345">
      <c r="A345" s="1" t="s">
        <v>566</v>
      </c>
      <c r="B345" s="1" t="s">
        <v>562</v>
      </c>
      <c r="C345" s="1" t="s">
        <v>565</v>
      </c>
      <c r="D345" s="1">
        <v>4.0</v>
      </c>
      <c r="E345" s="1" t="s">
        <v>308</v>
      </c>
      <c r="F345" s="1">
        <v>0.1101</v>
      </c>
      <c r="G345" s="1">
        <v>0.2559</v>
      </c>
      <c r="H345" s="2">
        <v>6.5703E-6</v>
      </c>
      <c r="I345" s="1">
        <v>132.0</v>
      </c>
    </row>
    <row r="346">
      <c r="A346" s="1" t="s">
        <v>567</v>
      </c>
      <c r="B346" s="1" t="s">
        <v>565</v>
      </c>
      <c r="C346" s="1" t="s">
        <v>568</v>
      </c>
      <c r="D346" s="1">
        <f t="shared" ref="D346:D347" si="5">11-3</f>
        <v>8</v>
      </c>
      <c r="E346" s="1" t="s">
        <v>308</v>
      </c>
      <c r="F346" s="1"/>
      <c r="G346" s="1"/>
      <c r="H346" s="2"/>
      <c r="I346" s="1"/>
    </row>
    <row r="347">
      <c r="A347" s="1" t="s">
        <v>569</v>
      </c>
      <c r="B347" s="1" t="s">
        <v>565</v>
      </c>
      <c r="C347" s="1" t="s">
        <v>568</v>
      </c>
      <c r="D347" s="1">
        <f t="shared" si="5"/>
        <v>8</v>
      </c>
      <c r="E347" s="1" t="s">
        <v>308</v>
      </c>
      <c r="F347" s="1"/>
      <c r="G347" s="1"/>
      <c r="H347" s="2"/>
      <c r="I347" s="1"/>
    </row>
    <row r="348">
      <c r="A348" s="1" t="s">
        <v>570</v>
      </c>
      <c r="B348" s="1" t="s">
        <v>568</v>
      </c>
      <c r="C348" s="1" t="s">
        <v>571</v>
      </c>
      <c r="D348" s="1">
        <f>20-8</f>
        <v>12</v>
      </c>
      <c r="E348" s="1" t="s">
        <v>308</v>
      </c>
      <c r="F348" s="1">
        <v>0.1101</v>
      </c>
      <c r="G348" s="1">
        <v>0.2559</v>
      </c>
      <c r="H348" s="2">
        <v>6.5703E-6</v>
      </c>
      <c r="I348" s="1">
        <v>132.0</v>
      </c>
    </row>
    <row r="349">
      <c r="A349" s="1" t="s">
        <v>572</v>
      </c>
      <c r="B349" s="1" t="s">
        <v>573</v>
      </c>
      <c r="C349" s="1" t="s">
        <v>574</v>
      </c>
      <c r="D349" s="1">
        <v>3.0</v>
      </c>
      <c r="E349" s="1" t="s">
        <v>308</v>
      </c>
      <c r="F349" s="1"/>
      <c r="G349" s="1"/>
      <c r="H349" s="2"/>
      <c r="I349" s="1"/>
    </row>
    <row r="350">
      <c r="A350" s="1" t="s">
        <v>575</v>
      </c>
      <c r="B350" s="1" t="s">
        <v>574</v>
      </c>
      <c r="C350" s="1" t="s">
        <v>568</v>
      </c>
      <c r="D350" s="1">
        <v>3.0</v>
      </c>
      <c r="E350" s="1" t="s">
        <v>308</v>
      </c>
      <c r="F350" s="1">
        <v>0.1101</v>
      </c>
      <c r="G350" s="1">
        <v>0.2559</v>
      </c>
      <c r="H350" s="2">
        <v>6.5703E-6</v>
      </c>
      <c r="I350" s="1">
        <v>132.0</v>
      </c>
    </row>
    <row r="351">
      <c r="A351" s="1" t="s">
        <v>576</v>
      </c>
      <c r="B351" s="1" t="s">
        <v>577</v>
      </c>
      <c r="C351" s="1" t="s">
        <v>571</v>
      </c>
      <c r="D351" s="1">
        <v>14.0</v>
      </c>
      <c r="E351" s="1" t="s">
        <v>308</v>
      </c>
      <c r="F351" s="1">
        <v>0.1101</v>
      </c>
      <c r="G351" s="1">
        <v>0.2559</v>
      </c>
      <c r="H351" s="2">
        <v>6.5703E-6</v>
      </c>
      <c r="I351" s="1">
        <v>132.0</v>
      </c>
    </row>
    <row r="352">
      <c r="A352" s="1" t="s">
        <v>578</v>
      </c>
      <c r="B352" s="1" t="s">
        <v>577</v>
      </c>
      <c r="C352" s="1" t="s">
        <v>571</v>
      </c>
      <c r="D352" s="1">
        <v>14.0</v>
      </c>
      <c r="E352" s="1" t="s">
        <v>308</v>
      </c>
      <c r="F352" s="1">
        <v>0.1101</v>
      </c>
      <c r="G352" s="1">
        <v>0.2559</v>
      </c>
      <c r="H352" s="2">
        <v>6.5703E-6</v>
      </c>
      <c r="I352" s="1">
        <v>132.0</v>
      </c>
    </row>
    <row r="353">
      <c r="A353" s="1" t="s">
        <v>579</v>
      </c>
      <c r="B353" s="1" t="s">
        <v>556</v>
      </c>
      <c r="C353" s="1" t="s">
        <v>580</v>
      </c>
      <c r="D353" s="1">
        <v>0.5</v>
      </c>
      <c r="E353" s="1" t="s">
        <v>581</v>
      </c>
      <c r="F353" s="1">
        <v>0.015</v>
      </c>
      <c r="G353" s="1">
        <v>0.12</v>
      </c>
      <c r="H353" s="2">
        <v>2.0E-5</v>
      </c>
      <c r="I353" s="1">
        <v>132.0</v>
      </c>
    </row>
    <row r="354">
      <c r="A354" s="1" t="s">
        <v>582</v>
      </c>
      <c r="B354" s="1" t="s">
        <v>556</v>
      </c>
      <c r="C354" s="1" t="s">
        <v>580</v>
      </c>
      <c r="D354" s="1">
        <v>0.5</v>
      </c>
      <c r="E354" s="1" t="s">
        <v>581</v>
      </c>
      <c r="F354" s="1">
        <v>0.015</v>
      </c>
      <c r="G354" s="1">
        <v>0.12</v>
      </c>
      <c r="H354" s="2">
        <v>2.0E-5</v>
      </c>
      <c r="I354" s="1">
        <v>132.0</v>
      </c>
    </row>
    <row r="355">
      <c r="A355" s="1" t="s">
        <v>583</v>
      </c>
      <c r="B355" s="1" t="s">
        <v>577</v>
      </c>
      <c r="C355" s="1" t="s">
        <v>584</v>
      </c>
      <c r="D355" s="1">
        <v>13.0</v>
      </c>
      <c r="E355" s="1" t="s">
        <v>308</v>
      </c>
      <c r="F355" s="1">
        <v>0.1101</v>
      </c>
      <c r="G355" s="1">
        <v>0.2559</v>
      </c>
      <c r="H355" s="2">
        <v>6.5703E-6</v>
      </c>
      <c r="I355" s="1">
        <v>132.0</v>
      </c>
    </row>
    <row r="356">
      <c r="A356" s="1" t="s">
        <v>585</v>
      </c>
      <c r="B356" s="1" t="s">
        <v>586</v>
      </c>
      <c r="C356" s="1" t="s">
        <v>584</v>
      </c>
      <c r="D356" s="1">
        <v>4.0</v>
      </c>
      <c r="E356" s="1" t="s">
        <v>308</v>
      </c>
      <c r="F356" s="1">
        <v>0.1101</v>
      </c>
      <c r="G356" s="1">
        <v>0.2559</v>
      </c>
      <c r="H356" s="2">
        <v>6.5703E-6</v>
      </c>
      <c r="I356" s="1">
        <v>132.0</v>
      </c>
    </row>
    <row r="357">
      <c r="A357" s="1" t="s">
        <v>587</v>
      </c>
      <c r="B357" s="1" t="s">
        <v>577</v>
      </c>
      <c r="C357" s="1" t="s">
        <v>588</v>
      </c>
      <c r="D357" s="1">
        <v>21.0</v>
      </c>
      <c r="E357" s="1" t="s">
        <v>308</v>
      </c>
      <c r="F357" s="1">
        <v>0.1101</v>
      </c>
      <c r="G357" s="1">
        <v>0.2559</v>
      </c>
      <c r="H357" s="2">
        <v>6.5703E-6</v>
      </c>
      <c r="I357" s="1">
        <v>132.0</v>
      </c>
    </row>
    <row r="358">
      <c r="A358" s="1" t="s">
        <v>589</v>
      </c>
      <c r="B358" s="1" t="s">
        <v>588</v>
      </c>
      <c r="C358" s="1" t="s">
        <v>590</v>
      </c>
      <c r="D358" s="3">
        <v>4.0</v>
      </c>
      <c r="E358" s="1" t="s">
        <v>308</v>
      </c>
      <c r="F358" s="1"/>
      <c r="G358" s="1"/>
      <c r="H358" s="2"/>
      <c r="I358" s="1"/>
    </row>
    <row r="359">
      <c r="A359" s="1" t="s">
        <v>591</v>
      </c>
      <c r="B359" s="1" t="s">
        <v>590</v>
      </c>
      <c r="C359" s="1" t="s">
        <v>588</v>
      </c>
      <c r="D359" s="1">
        <v>30.0</v>
      </c>
      <c r="E359" s="1" t="s">
        <v>308</v>
      </c>
      <c r="F359" s="1">
        <v>0.1101</v>
      </c>
      <c r="G359" s="1">
        <v>0.2559</v>
      </c>
      <c r="H359" s="2">
        <v>6.5703E-6</v>
      </c>
      <c r="I359" s="1">
        <v>132.0</v>
      </c>
    </row>
    <row r="360">
      <c r="A360" s="1" t="s">
        <v>592</v>
      </c>
      <c r="B360" s="1" t="s">
        <v>588</v>
      </c>
      <c r="C360" s="1" t="s">
        <v>368</v>
      </c>
      <c r="D360" s="3">
        <v>5.0</v>
      </c>
      <c r="E360" s="1" t="s">
        <v>308</v>
      </c>
      <c r="F360" s="1"/>
      <c r="G360" s="1"/>
      <c r="H360" s="2"/>
      <c r="I360" s="1"/>
    </row>
    <row r="361">
      <c r="A361" s="1" t="s">
        <v>593</v>
      </c>
      <c r="B361" s="1" t="s">
        <v>586</v>
      </c>
      <c r="C361" s="1" t="s">
        <v>146</v>
      </c>
      <c r="D361" s="1">
        <v>12.0</v>
      </c>
      <c r="E361" s="1" t="s">
        <v>308</v>
      </c>
      <c r="F361" s="1">
        <v>0.1101</v>
      </c>
      <c r="G361" s="1">
        <v>0.2559</v>
      </c>
      <c r="H361" s="2">
        <v>6.5703E-6</v>
      </c>
      <c r="I361" s="1">
        <v>132.0</v>
      </c>
    </row>
    <row r="362">
      <c r="A362" s="1" t="s">
        <v>594</v>
      </c>
      <c r="B362" s="1" t="s">
        <v>325</v>
      </c>
      <c r="C362" s="1" t="s">
        <v>595</v>
      </c>
      <c r="D362" s="1">
        <v>16.0</v>
      </c>
      <c r="E362" s="1" t="s">
        <v>308</v>
      </c>
      <c r="F362" s="1">
        <v>0.1101</v>
      </c>
      <c r="G362" s="1">
        <v>0.2559</v>
      </c>
      <c r="H362" s="2">
        <v>6.5703E-6</v>
      </c>
      <c r="I362" s="1">
        <v>132.0</v>
      </c>
    </row>
    <row r="363">
      <c r="A363" s="1" t="s">
        <v>596</v>
      </c>
      <c r="B363" s="1" t="s">
        <v>325</v>
      </c>
      <c r="C363" s="1" t="s">
        <v>595</v>
      </c>
      <c r="D363" s="1">
        <v>16.0</v>
      </c>
      <c r="E363" s="1" t="s">
        <v>308</v>
      </c>
      <c r="F363" s="1">
        <v>0.1101</v>
      </c>
      <c r="G363" s="1">
        <v>0.2559</v>
      </c>
      <c r="H363" s="2">
        <v>6.5703E-6</v>
      </c>
      <c r="I363" s="1">
        <v>132.0</v>
      </c>
    </row>
    <row r="364">
      <c r="A364" s="1" t="s">
        <v>597</v>
      </c>
      <c r="B364" s="1" t="s">
        <v>325</v>
      </c>
      <c r="C364" s="1" t="s">
        <v>598</v>
      </c>
      <c r="D364" s="1">
        <v>6.0</v>
      </c>
      <c r="E364" s="1" t="s">
        <v>308</v>
      </c>
      <c r="F364" s="1">
        <v>0.1101</v>
      </c>
      <c r="G364" s="1">
        <v>0.2559</v>
      </c>
      <c r="H364" s="2">
        <v>6.5703E-6</v>
      </c>
      <c r="I364" s="1">
        <v>132.0</v>
      </c>
    </row>
    <row r="365">
      <c r="A365" s="1" t="s">
        <v>599</v>
      </c>
      <c r="B365" s="1" t="s">
        <v>600</v>
      </c>
      <c r="C365" s="1" t="s">
        <v>598</v>
      </c>
      <c r="D365" s="1">
        <v>16.0</v>
      </c>
      <c r="E365" s="1" t="s">
        <v>308</v>
      </c>
      <c r="F365" s="1">
        <v>0.1101</v>
      </c>
      <c r="G365" s="1">
        <v>0.2559</v>
      </c>
      <c r="H365" s="2">
        <v>6.5703E-6</v>
      </c>
      <c r="I365" s="1">
        <v>132.0</v>
      </c>
    </row>
    <row r="366">
      <c r="A366" s="1" t="s">
        <v>601</v>
      </c>
      <c r="B366" s="1" t="s">
        <v>325</v>
      </c>
      <c r="C366" s="1" t="s">
        <v>600</v>
      </c>
      <c r="D366" s="1">
        <v>10.0</v>
      </c>
      <c r="E366" s="1" t="s">
        <v>308</v>
      </c>
      <c r="F366" s="1">
        <v>0.1101</v>
      </c>
      <c r="G366" s="1">
        <v>0.2559</v>
      </c>
      <c r="H366" s="2">
        <v>6.5703E-6</v>
      </c>
      <c r="I366" s="1">
        <v>132.0</v>
      </c>
    </row>
    <row r="367">
      <c r="A367" s="1" t="s">
        <v>602</v>
      </c>
      <c r="B367" s="1" t="s">
        <v>600</v>
      </c>
      <c r="C367" s="1" t="s">
        <v>603</v>
      </c>
      <c r="D367" s="1">
        <v>5.0</v>
      </c>
      <c r="E367" s="1" t="s">
        <v>604</v>
      </c>
      <c r="F367" s="1">
        <v>0.075</v>
      </c>
      <c r="G367" s="1">
        <v>0.13</v>
      </c>
      <c r="H367" s="2">
        <v>2.0E-5</v>
      </c>
      <c r="I367" s="1">
        <v>132.0</v>
      </c>
    </row>
    <row r="368">
      <c r="A368" s="1" t="s">
        <v>605</v>
      </c>
      <c r="B368" s="1" t="s">
        <v>600</v>
      </c>
      <c r="C368" s="1" t="s">
        <v>603</v>
      </c>
      <c r="D368" s="1">
        <v>5.0</v>
      </c>
      <c r="E368" s="1" t="s">
        <v>604</v>
      </c>
      <c r="F368" s="1">
        <v>0.075</v>
      </c>
      <c r="G368" s="1">
        <v>0.13</v>
      </c>
      <c r="H368" s="2">
        <v>2.0E-5</v>
      </c>
      <c r="I368" s="1">
        <v>132.0</v>
      </c>
    </row>
    <row r="369">
      <c r="A369" s="1" t="s">
        <v>606</v>
      </c>
      <c r="B369" s="1" t="s">
        <v>595</v>
      </c>
      <c r="C369" s="1" t="s">
        <v>607</v>
      </c>
      <c r="D369" s="1">
        <v>5.5</v>
      </c>
      <c r="E369" s="1" t="s">
        <v>604</v>
      </c>
      <c r="F369" s="1">
        <v>0.075</v>
      </c>
      <c r="G369" s="1">
        <v>0.13</v>
      </c>
      <c r="H369" s="2">
        <v>2.0E-5</v>
      </c>
      <c r="I369" s="1">
        <v>132.0</v>
      </c>
    </row>
    <row r="370">
      <c r="A370" s="1" t="s">
        <v>608</v>
      </c>
      <c r="B370" s="1" t="s">
        <v>595</v>
      </c>
      <c r="C370" s="1" t="s">
        <v>607</v>
      </c>
      <c r="D370" s="1">
        <v>5.5</v>
      </c>
      <c r="E370" s="1" t="s">
        <v>604</v>
      </c>
      <c r="F370" s="1">
        <v>0.075</v>
      </c>
      <c r="G370" s="1">
        <v>0.13</v>
      </c>
      <c r="H370" s="2">
        <v>2.0E-5</v>
      </c>
      <c r="I370" s="1">
        <v>132.0</v>
      </c>
    </row>
    <row r="371">
      <c r="A371" s="1" t="s">
        <v>606</v>
      </c>
      <c r="B371" s="1" t="s">
        <v>595</v>
      </c>
      <c r="C371" s="1" t="s">
        <v>607</v>
      </c>
      <c r="D371" s="1">
        <v>5.5</v>
      </c>
      <c r="E371" s="1" t="s">
        <v>581</v>
      </c>
      <c r="F371" s="1">
        <v>0.015</v>
      </c>
      <c r="G371" s="1">
        <v>0.12</v>
      </c>
      <c r="H371" s="2">
        <v>2.0E-5</v>
      </c>
      <c r="I371" s="1">
        <v>132.0</v>
      </c>
    </row>
    <row r="372">
      <c r="A372" s="1" t="s">
        <v>608</v>
      </c>
      <c r="B372" s="1" t="s">
        <v>595</v>
      </c>
      <c r="C372" s="1" t="s">
        <v>607</v>
      </c>
      <c r="D372" s="1">
        <v>5.5</v>
      </c>
      <c r="E372" s="1" t="s">
        <v>581</v>
      </c>
      <c r="F372" s="1">
        <v>0.015</v>
      </c>
      <c r="G372" s="1">
        <v>0.12</v>
      </c>
      <c r="H372" s="2">
        <v>2.0E-5</v>
      </c>
      <c r="I372" s="1">
        <v>132.0</v>
      </c>
    </row>
    <row r="373">
      <c r="A373" s="1" t="s">
        <v>609</v>
      </c>
      <c r="B373" s="1" t="s">
        <v>556</v>
      </c>
      <c r="C373" s="1" t="s">
        <v>552</v>
      </c>
      <c r="D373" s="1">
        <v>22.5</v>
      </c>
      <c r="E373" s="1" t="s">
        <v>308</v>
      </c>
      <c r="F373" s="1">
        <v>0.1101</v>
      </c>
      <c r="G373" s="1">
        <v>0.2559</v>
      </c>
      <c r="H373" s="2">
        <v>6.5703E-6</v>
      </c>
      <c r="I373" s="1">
        <v>132.0</v>
      </c>
    </row>
    <row r="374">
      <c r="A374" s="1" t="s">
        <v>610</v>
      </c>
      <c r="B374" s="1" t="s">
        <v>556</v>
      </c>
      <c r="C374" s="1" t="s">
        <v>552</v>
      </c>
      <c r="D374" s="1">
        <v>22.5</v>
      </c>
      <c r="E374" s="1" t="s">
        <v>308</v>
      </c>
      <c r="F374" s="1">
        <v>0.1101</v>
      </c>
      <c r="G374" s="1">
        <v>0.2559</v>
      </c>
      <c r="H374" s="2">
        <v>6.5703E-6</v>
      </c>
      <c r="I374" s="1">
        <v>132.0</v>
      </c>
    </row>
    <row r="375">
      <c r="A375" s="1" t="s">
        <v>611</v>
      </c>
      <c r="B375" s="1" t="s">
        <v>552</v>
      </c>
      <c r="C375" s="1" t="s">
        <v>612</v>
      </c>
      <c r="D375" s="1">
        <v>32.0</v>
      </c>
      <c r="E375" s="1" t="s">
        <v>308</v>
      </c>
      <c r="F375" s="1">
        <v>0.1101</v>
      </c>
      <c r="G375" s="1">
        <v>0.2559</v>
      </c>
      <c r="H375" s="2">
        <v>6.5703E-6</v>
      </c>
      <c r="I375" s="1">
        <v>132.0</v>
      </c>
    </row>
    <row r="376">
      <c r="A376" s="1" t="s">
        <v>613</v>
      </c>
      <c r="B376" s="1" t="s">
        <v>552</v>
      </c>
      <c r="C376" s="1" t="s">
        <v>612</v>
      </c>
      <c r="D376" s="1">
        <v>32.0</v>
      </c>
      <c r="E376" s="1" t="s">
        <v>308</v>
      </c>
      <c r="F376" s="1">
        <v>0.1101</v>
      </c>
      <c r="G376" s="1">
        <v>0.2559</v>
      </c>
      <c r="H376" s="2">
        <v>6.5703E-6</v>
      </c>
      <c r="I376" s="1">
        <v>132.0</v>
      </c>
    </row>
    <row r="377">
      <c r="A377" s="1" t="s">
        <v>614</v>
      </c>
      <c r="B377" s="1" t="s">
        <v>595</v>
      </c>
      <c r="C377" s="1" t="s">
        <v>615</v>
      </c>
      <c r="D377" s="1">
        <v>4.0</v>
      </c>
      <c r="E377" s="1" t="s">
        <v>616</v>
      </c>
      <c r="F377" s="1">
        <v>0.015</v>
      </c>
      <c r="G377" s="1">
        <v>0.12</v>
      </c>
      <c r="H377" s="2">
        <v>2.0E-5</v>
      </c>
      <c r="I377" s="1">
        <v>132.0</v>
      </c>
    </row>
    <row r="378">
      <c r="A378" s="1" t="s">
        <v>617</v>
      </c>
      <c r="B378" s="1" t="s">
        <v>595</v>
      </c>
      <c r="C378" s="1" t="s">
        <v>615</v>
      </c>
      <c r="D378" s="1">
        <v>4.0</v>
      </c>
      <c r="E378" s="1" t="s">
        <v>616</v>
      </c>
      <c r="F378" s="1">
        <v>0.015</v>
      </c>
      <c r="G378" s="1">
        <v>0.12</v>
      </c>
      <c r="H378" s="2">
        <v>2.0E-5</v>
      </c>
      <c r="I378" s="1">
        <v>132.0</v>
      </c>
    </row>
    <row r="379">
      <c r="A379" s="1" t="s">
        <v>618</v>
      </c>
      <c r="B379" s="1" t="s">
        <v>615</v>
      </c>
      <c r="C379" s="1" t="s">
        <v>619</v>
      </c>
      <c r="D379" s="1">
        <v>8.0</v>
      </c>
      <c r="E379" s="1" t="s">
        <v>308</v>
      </c>
      <c r="F379" s="1">
        <v>0.1101</v>
      </c>
      <c r="G379" s="1">
        <v>0.2559</v>
      </c>
      <c r="H379" s="2">
        <v>6.5703E-6</v>
      </c>
      <c r="I379" s="1">
        <v>132.0</v>
      </c>
    </row>
    <row r="380">
      <c r="A380" s="1" t="s">
        <v>620</v>
      </c>
      <c r="B380" s="1" t="s">
        <v>615</v>
      </c>
      <c r="C380" s="1" t="s">
        <v>619</v>
      </c>
      <c r="D380" s="1">
        <v>8.0</v>
      </c>
      <c r="E380" s="1" t="s">
        <v>308</v>
      </c>
      <c r="F380" s="1">
        <v>0.1101</v>
      </c>
      <c r="G380" s="1">
        <v>0.2559</v>
      </c>
      <c r="H380" s="2">
        <v>6.5703E-6</v>
      </c>
      <c r="I380" s="1">
        <v>132.0</v>
      </c>
    </row>
    <row r="381">
      <c r="A381" s="1" t="s">
        <v>621</v>
      </c>
      <c r="B381" s="1" t="s">
        <v>619</v>
      </c>
      <c r="C381" s="1" t="s">
        <v>556</v>
      </c>
      <c r="D381" s="1">
        <v>11.0</v>
      </c>
      <c r="E381" s="1" t="s">
        <v>308</v>
      </c>
      <c r="F381" s="1">
        <v>0.1101</v>
      </c>
      <c r="G381" s="1">
        <v>0.2559</v>
      </c>
      <c r="H381" s="2">
        <v>6.5703E-6</v>
      </c>
      <c r="I381" s="1">
        <v>132.0</v>
      </c>
    </row>
    <row r="382">
      <c r="A382" s="1" t="s">
        <v>622</v>
      </c>
      <c r="B382" s="1" t="s">
        <v>619</v>
      </c>
      <c r="C382" s="1" t="s">
        <v>556</v>
      </c>
      <c r="D382" s="1">
        <v>11.0</v>
      </c>
      <c r="E382" s="1" t="s">
        <v>308</v>
      </c>
      <c r="F382" s="1">
        <v>0.1101</v>
      </c>
      <c r="G382" s="1">
        <v>0.2559</v>
      </c>
      <c r="H382" s="2">
        <v>6.5703E-6</v>
      </c>
      <c r="I382" s="1">
        <v>132.0</v>
      </c>
    </row>
    <row r="383">
      <c r="A383" s="1" t="s">
        <v>623</v>
      </c>
      <c r="B383" s="1" t="s">
        <v>615</v>
      </c>
      <c r="C383" s="1" t="s">
        <v>624</v>
      </c>
      <c r="D383" s="1">
        <v>4.5</v>
      </c>
      <c r="E383" s="1" t="s">
        <v>308</v>
      </c>
      <c r="F383" s="1">
        <v>0.1101</v>
      </c>
      <c r="G383" s="1">
        <v>0.2559</v>
      </c>
      <c r="H383" s="2">
        <v>6.5703E-6</v>
      </c>
      <c r="I383" s="1">
        <v>132.0</v>
      </c>
    </row>
    <row r="384">
      <c r="A384" s="1" t="s">
        <v>625</v>
      </c>
      <c r="B384" s="1" t="s">
        <v>615</v>
      </c>
      <c r="C384" s="1" t="s">
        <v>624</v>
      </c>
      <c r="D384" s="1">
        <v>4.5</v>
      </c>
      <c r="E384" s="1" t="s">
        <v>308</v>
      </c>
      <c r="F384" s="1">
        <v>0.1101</v>
      </c>
      <c r="G384" s="1">
        <v>0.2559</v>
      </c>
      <c r="H384" s="2">
        <v>6.5703E-6</v>
      </c>
      <c r="I384" s="1">
        <v>132.0</v>
      </c>
    </row>
    <row r="385">
      <c r="A385" s="1" t="s">
        <v>626</v>
      </c>
      <c r="B385" s="1" t="s">
        <v>314</v>
      </c>
      <c r="C385" s="1" t="s">
        <v>627</v>
      </c>
      <c r="D385" s="1">
        <f t="shared" ref="D385:D388" si="6">(28*0.5)+3.1</f>
        <v>17.1</v>
      </c>
      <c r="E385" s="1" t="s">
        <v>308</v>
      </c>
      <c r="F385" s="1">
        <v>0.1101</v>
      </c>
      <c r="G385" s="1">
        <v>0.2559</v>
      </c>
      <c r="H385" s="2">
        <v>6.5703E-6</v>
      </c>
      <c r="I385" s="1">
        <v>132.0</v>
      </c>
    </row>
    <row r="386">
      <c r="A386" s="1" t="s">
        <v>628</v>
      </c>
      <c r="B386" s="1" t="s">
        <v>314</v>
      </c>
      <c r="C386" s="1" t="s">
        <v>627</v>
      </c>
      <c r="D386" s="1">
        <f t="shared" si="6"/>
        <v>17.1</v>
      </c>
      <c r="E386" s="1" t="s">
        <v>308</v>
      </c>
      <c r="F386" s="1">
        <v>0.1101</v>
      </c>
      <c r="G386" s="1">
        <v>0.2559</v>
      </c>
      <c r="H386" s="2">
        <v>6.5703E-6</v>
      </c>
      <c r="I386" s="1">
        <v>132.0</v>
      </c>
    </row>
    <row r="387">
      <c r="A387" s="1" t="s">
        <v>629</v>
      </c>
      <c r="B387" s="1" t="s">
        <v>627</v>
      </c>
      <c r="C387" s="1" t="s">
        <v>630</v>
      </c>
      <c r="D387" s="1">
        <f t="shared" si="6"/>
        <v>17.1</v>
      </c>
      <c r="E387" s="1" t="s">
        <v>308</v>
      </c>
      <c r="F387" s="1"/>
      <c r="G387" s="1"/>
      <c r="H387" s="2"/>
      <c r="I387" s="1"/>
    </row>
    <row r="388">
      <c r="A388" s="1" t="s">
        <v>631</v>
      </c>
      <c r="B388" s="1" t="s">
        <v>627</v>
      </c>
      <c r="C388" s="1" t="s">
        <v>630</v>
      </c>
      <c r="D388" s="1">
        <f t="shared" si="6"/>
        <v>17.1</v>
      </c>
      <c r="E388" s="1" t="s">
        <v>308</v>
      </c>
      <c r="F388" s="1"/>
      <c r="G388" s="1"/>
      <c r="H388" s="2"/>
      <c r="I388" s="1"/>
    </row>
    <row r="389">
      <c r="A389" s="1" t="s">
        <v>529</v>
      </c>
      <c r="B389" s="1" t="s">
        <v>528</v>
      </c>
      <c r="C389" s="1" t="s">
        <v>530</v>
      </c>
      <c r="D389" s="1">
        <v>6.0</v>
      </c>
      <c r="E389" s="1" t="s">
        <v>308</v>
      </c>
      <c r="F389" s="1">
        <v>0.1101</v>
      </c>
      <c r="G389" s="1">
        <v>0.2559</v>
      </c>
      <c r="H389" s="2">
        <v>6.5703E-6</v>
      </c>
      <c r="I389" s="1">
        <v>132.0</v>
      </c>
    </row>
    <row r="390">
      <c r="A390" s="1" t="s">
        <v>531</v>
      </c>
      <c r="B390" s="1" t="s">
        <v>528</v>
      </c>
      <c r="C390" s="1" t="s">
        <v>530</v>
      </c>
      <c r="D390" s="1">
        <v>6.0</v>
      </c>
      <c r="E390" s="1" t="s">
        <v>308</v>
      </c>
      <c r="F390" s="1">
        <v>0.1101</v>
      </c>
      <c r="G390" s="1">
        <v>0.2559</v>
      </c>
      <c r="H390" s="2">
        <v>6.5703E-6</v>
      </c>
      <c r="I390" s="1">
        <v>132.0</v>
      </c>
    </row>
    <row r="391">
      <c r="A391" s="1" t="s">
        <v>632</v>
      </c>
      <c r="B391" s="1" t="s">
        <v>375</v>
      </c>
      <c r="C391" s="1" t="s">
        <v>633</v>
      </c>
      <c r="D391" s="3">
        <v>1.0</v>
      </c>
      <c r="E391" s="1" t="s">
        <v>308</v>
      </c>
      <c r="F391" s="1">
        <v>0.1101</v>
      </c>
      <c r="G391" s="1">
        <v>0.2559</v>
      </c>
      <c r="H391" s="2">
        <v>6.5703E-6</v>
      </c>
      <c r="I391" s="1">
        <v>132.0</v>
      </c>
    </row>
    <row r="392">
      <c r="A392" s="1" t="s">
        <v>634</v>
      </c>
      <c r="B392" s="1" t="s">
        <v>375</v>
      </c>
      <c r="C392" s="1" t="s">
        <v>633</v>
      </c>
      <c r="D392" s="3">
        <v>1.0</v>
      </c>
      <c r="E392" s="1" t="s">
        <v>308</v>
      </c>
      <c r="F392" s="1">
        <v>0.1101</v>
      </c>
      <c r="G392" s="1">
        <v>0.2559</v>
      </c>
      <c r="H392" s="2">
        <v>6.5703E-6</v>
      </c>
      <c r="I392" s="1">
        <v>132.0</v>
      </c>
    </row>
    <row r="393">
      <c r="A393" s="1" t="s">
        <v>635</v>
      </c>
      <c r="B393" s="1" t="s">
        <v>633</v>
      </c>
      <c r="C393" s="1" t="s">
        <v>636</v>
      </c>
      <c r="D393" s="3">
        <v>28.0</v>
      </c>
      <c r="E393" s="1" t="s">
        <v>308</v>
      </c>
      <c r="F393" s="1"/>
      <c r="G393" s="1"/>
      <c r="H393" s="2"/>
      <c r="I393" s="1"/>
    </row>
    <row r="394">
      <c r="A394" s="1" t="s">
        <v>637</v>
      </c>
      <c r="B394" s="1" t="s">
        <v>633</v>
      </c>
      <c r="C394" s="1" t="s">
        <v>636</v>
      </c>
      <c r="D394" s="3">
        <v>28.0</v>
      </c>
      <c r="E394" s="1" t="s">
        <v>308</v>
      </c>
      <c r="F394" s="1"/>
      <c r="G394" s="1"/>
      <c r="H394" s="2"/>
      <c r="I394" s="1"/>
    </row>
    <row r="395">
      <c r="A395" s="1" t="s">
        <v>638</v>
      </c>
      <c r="B395" s="1" t="s">
        <v>636</v>
      </c>
      <c r="C395" s="1" t="s">
        <v>433</v>
      </c>
      <c r="D395" s="3">
        <v>39.0</v>
      </c>
      <c r="E395" s="1" t="s">
        <v>308</v>
      </c>
      <c r="F395" s="1"/>
      <c r="G395" s="1"/>
      <c r="H395" s="2"/>
      <c r="I395" s="1"/>
    </row>
    <row r="396">
      <c r="A396" s="1" t="s">
        <v>639</v>
      </c>
      <c r="B396" s="1" t="s">
        <v>636</v>
      </c>
      <c r="C396" s="1" t="s">
        <v>433</v>
      </c>
      <c r="D396" s="3">
        <v>39.0</v>
      </c>
      <c r="E396" s="1" t="s">
        <v>308</v>
      </c>
      <c r="F396" s="1"/>
      <c r="G396" s="1"/>
      <c r="H396" s="2"/>
      <c r="I396" s="1"/>
    </row>
    <row r="397">
      <c r="A397" s="1" t="s">
        <v>640</v>
      </c>
      <c r="B397" s="1" t="s">
        <v>641</v>
      </c>
      <c r="C397" s="1" t="s">
        <v>485</v>
      </c>
      <c r="D397" s="1">
        <v>42.0</v>
      </c>
      <c r="E397" s="1" t="s">
        <v>308</v>
      </c>
      <c r="F397" s="1">
        <v>0.1101</v>
      </c>
      <c r="G397" s="1">
        <v>0.2559</v>
      </c>
      <c r="H397" s="2">
        <v>6.5703E-6</v>
      </c>
      <c r="I397" s="1">
        <v>132.0</v>
      </c>
    </row>
    <row r="398">
      <c r="A398" s="1" t="s">
        <v>642</v>
      </c>
      <c r="B398" s="1" t="s">
        <v>641</v>
      </c>
      <c r="C398" s="1" t="s">
        <v>485</v>
      </c>
      <c r="D398" s="1">
        <v>42.0</v>
      </c>
      <c r="E398" s="1" t="s">
        <v>308</v>
      </c>
      <c r="F398" s="1">
        <v>0.1101</v>
      </c>
      <c r="G398" s="1">
        <v>0.2559</v>
      </c>
      <c r="H398" s="2">
        <v>6.5703E-6</v>
      </c>
      <c r="I398" s="1">
        <v>132.0</v>
      </c>
    </row>
    <row r="399">
      <c r="A399" s="1" t="s">
        <v>643</v>
      </c>
      <c r="B399" s="1" t="s">
        <v>641</v>
      </c>
      <c r="C399" s="1" t="s">
        <v>491</v>
      </c>
      <c r="D399" s="1">
        <v>36.0</v>
      </c>
      <c r="E399" s="1" t="s">
        <v>308</v>
      </c>
      <c r="F399" s="1">
        <v>0.082575</v>
      </c>
      <c r="G399" s="1">
        <v>0.2559</v>
      </c>
      <c r="H399" s="2">
        <v>6.5703E-6</v>
      </c>
      <c r="I399" s="1">
        <v>132.0</v>
      </c>
    </row>
    <row r="400">
      <c r="A400" s="1" t="s">
        <v>644</v>
      </c>
      <c r="B400" s="1" t="s">
        <v>641</v>
      </c>
      <c r="C400" s="1" t="s">
        <v>491</v>
      </c>
      <c r="D400" s="1">
        <v>36.0</v>
      </c>
      <c r="E400" s="1" t="s">
        <v>308</v>
      </c>
      <c r="F400" s="1">
        <v>0.082575</v>
      </c>
      <c r="G400" s="1">
        <v>0.2559</v>
      </c>
      <c r="H400" s="2">
        <v>6.5703E-6</v>
      </c>
      <c r="I400" s="1">
        <v>132.0</v>
      </c>
    </row>
    <row r="401">
      <c r="A401" s="1" t="s">
        <v>645</v>
      </c>
      <c r="B401" s="1" t="s">
        <v>518</v>
      </c>
      <c r="C401" s="1" t="s">
        <v>646</v>
      </c>
      <c r="D401" s="3">
        <v>23.0</v>
      </c>
      <c r="E401" s="1" t="s">
        <v>308</v>
      </c>
      <c r="F401" s="1">
        <v>0.09909</v>
      </c>
      <c r="G401" s="1">
        <v>0.2559</v>
      </c>
      <c r="H401" s="2">
        <v>6.5703E-6</v>
      </c>
      <c r="I401" s="1">
        <v>132.0</v>
      </c>
    </row>
    <row r="402">
      <c r="A402" s="1" t="s">
        <v>647</v>
      </c>
      <c r="B402" s="1" t="s">
        <v>518</v>
      </c>
      <c r="C402" s="1" t="s">
        <v>646</v>
      </c>
      <c r="D402" s="3">
        <v>23.0</v>
      </c>
      <c r="E402" s="1" t="s">
        <v>308</v>
      </c>
      <c r="F402" s="1"/>
      <c r="G402" s="1"/>
      <c r="H402" s="2"/>
      <c r="I402" s="1"/>
    </row>
    <row r="403">
      <c r="A403" s="1" t="s">
        <v>648</v>
      </c>
      <c r="B403" s="1" t="s">
        <v>518</v>
      </c>
      <c r="C403" s="1" t="s">
        <v>646</v>
      </c>
      <c r="D403" s="3">
        <v>23.0</v>
      </c>
      <c r="E403" s="1" t="s">
        <v>308</v>
      </c>
      <c r="F403" s="1"/>
      <c r="G403" s="1"/>
      <c r="H403" s="2"/>
      <c r="I403" s="1"/>
    </row>
    <row r="404">
      <c r="A404" s="1" t="s">
        <v>649</v>
      </c>
      <c r="B404" s="1" t="s">
        <v>518</v>
      </c>
      <c r="C404" s="1" t="s">
        <v>646</v>
      </c>
      <c r="D404" s="3">
        <v>23.0</v>
      </c>
      <c r="E404" s="1" t="s">
        <v>308</v>
      </c>
      <c r="F404" s="1"/>
      <c r="G404" s="1"/>
      <c r="H404" s="2"/>
      <c r="I404" s="1"/>
    </row>
    <row r="405">
      <c r="A405" s="1" t="s">
        <v>650</v>
      </c>
      <c r="B405" s="1" t="s">
        <v>646</v>
      </c>
      <c r="C405" s="1" t="s">
        <v>651</v>
      </c>
      <c r="D405" s="3">
        <v>35.0</v>
      </c>
      <c r="E405" s="1" t="s">
        <v>308</v>
      </c>
      <c r="F405" s="1"/>
      <c r="G405" s="1"/>
      <c r="H405" s="2"/>
      <c r="I405" s="1"/>
    </row>
    <row r="406">
      <c r="A406" s="1" t="s">
        <v>652</v>
      </c>
      <c r="B406" s="1" t="s">
        <v>646</v>
      </c>
      <c r="C406" s="1" t="s">
        <v>651</v>
      </c>
      <c r="D406" s="3">
        <v>35.0</v>
      </c>
      <c r="E406" s="1" t="s">
        <v>308</v>
      </c>
      <c r="F406" s="1"/>
      <c r="G406" s="1"/>
      <c r="H406" s="2"/>
      <c r="I406" s="1"/>
    </row>
    <row r="407">
      <c r="A407" s="1" t="s">
        <v>653</v>
      </c>
      <c r="B407" s="1" t="s">
        <v>646</v>
      </c>
      <c r="C407" s="1" t="s">
        <v>515</v>
      </c>
      <c r="D407" s="3">
        <v>20.0</v>
      </c>
      <c r="E407" s="1" t="s">
        <v>308</v>
      </c>
      <c r="F407" s="1"/>
      <c r="G407" s="1"/>
      <c r="H407" s="2"/>
      <c r="I407" s="1"/>
    </row>
    <row r="408">
      <c r="A408" s="1" t="s">
        <v>654</v>
      </c>
      <c r="B408" s="1" t="s">
        <v>646</v>
      </c>
      <c r="C408" s="1" t="s">
        <v>515</v>
      </c>
      <c r="D408" s="3">
        <v>20.0</v>
      </c>
      <c r="E408" s="1" t="s">
        <v>308</v>
      </c>
      <c r="F408" s="1"/>
      <c r="G408" s="1"/>
      <c r="H408" s="2"/>
      <c r="I408" s="1"/>
    </row>
    <row r="409">
      <c r="A409" s="1" t="s">
        <v>655</v>
      </c>
      <c r="B409" s="1" t="s">
        <v>515</v>
      </c>
      <c r="C409" s="1" t="s">
        <v>656</v>
      </c>
      <c r="D409" s="3">
        <v>55.0</v>
      </c>
      <c r="E409" s="1" t="s">
        <v>308</v>
      </c>
      <c r="F409" s="1"/>
      <c r="G409" s="1"/>
      <c r="H409" s="2"/>
      <c r="I409" s="1"/>
    </row>
    <row r="410">
      <c r="A410" s="1" t="s">
        <v>657</v>
      </c>
      <c r="B410" s="1" t="s">
        <v>515</v>
      </c>
      <c r="C410" s="1" t="s">
        <v>656</v>
      </c>
      <c r="D410" s="3">
        <v>55.0</v>
      </c>
      <c r="E410" s="1" t="s">
        <v>308</v>
      </c>
      <c r="F410" s="1"/>
      <c r="G410" s="1"/>
      <c r="H410" s="2"/>
      <c r="I410" s="1"/>
    </row>
    <row r="411">
      <c r="A411" s="1" t="s">
        <v>658</v>
      </c>
      <c r="B411" s="1" t="s">
        <v>656</v>
      </c>
      <c r="C411" s="1" t="s">
        <v>461</v>
      </c>
      <c r="D411" s="3">
        <v>98.0</v>
      </c>
      <c r="E411" s="1" t="s">
        <v>308</v>
      </c>
      <c r="F411" s="1">
        <v>0.1101</v>
      </c>
      <c r="G411" s="1">
        <v>0.2559</v>
      </c>
      <c r="H411" s="2">
        <v>6.5703E-6</v>
      </c>
      <c r="I411" s="1">
        <v>132.0</v>
      </c>
    </row>
    <row r="412">
      <c r="A412" s="1" t="s">
        <v>659</v>
      </c>
      <c r="B412" s="1" t="s">
        <v>656</v>
      </c>
      <c r="C412" s="1" t="s">
        <v>461</v>
      </c>
      <c r="D412" s="3">
        <v>98.0</v>
      </c>
      <c r="E412" s="1" t="s">
        <v>308</v>
      </c>
      <c r="F412" s="1">
        <v>0.1101</v>
      </c>
      <c r="G412" s="1">
        <v>0.2559</v>
      </c>
      <c r="H412" s="2">
        <v>6.5703E-6</v>
      </c>
      <c r="I412" s="1">
        <v>132.0</v>
      </c>
    </row>
    <row r="413">
      <c r="A413" s="1" t="s">
        <v>660</v>
      </c>
      <c r="B413" s="1" t="s">
        <v>442</v>
      </c>
      <c r="C413" s="1" t="s">
        <v>661</v>
      </c>
      <c r="D413" s="1">
        <v>9.0</v>
      </c>
      <c r="E413" s="1" t="s">
        <v>177</v>
      </c>
      <c r="F413" s="1">
        <v>0.049545</v>
      </c>
      <c r="G413" s="1">
        <v>0.140636</v>
      </c>
      <c r="H413" s="2">
        <v>1.3141E-5</v>
      </c>
      <c r="I413" s="1">
        <v>132.0</v>
      </c>
    </row>
    <row r="414">
      <c r="A414" s="1" t="s">
        <v>662</v>
      </c>
      <c r="B414" s="1" t="s">
        <v>442</v>
      </c>
      <c r="C414" s="1" t="s">
        <v>661</v>
      </c>
      <c r="D414" s="1">
        <v>9.0</v>
      </c>
      <c r="E414" s="1" t="s">
        <v>177</v>
      </c>
      <c r="F414" s="1">
        <v>0.049545</v>
      </c>
      <c r="G414" s="1">
        <v>0.140636</v>
      </c>
      <c r="H414" s="2">
        <v>1.3141E-5</v>
      </c>
      <c r="I414" s="1">
        <v>132.0</v>
      </c>
    </row>
    <row r="415">
      <c r="A415" s="1" t="s">
        <v>663</v>
      </c>
      <c r="B415" s="1" t="s">
        <v>661</v>
      </c>
      <c r="C415" s="1" t="s">
        <v>664</v>
      </c>
      <c r="D415" s="1">
        <v>47.0</v>
      </c>
      <c r="E415" s="1" t="s">
        <v>308</v>
      </c>
      <c r="F415" s="1">
        <v>0.09909</v>
      </c>
      <c r="G415" s="1">
        <v>0.2559</v>
      </c>
      <c r="H415" s="2">
        <v>6.5703E-6</v>
      </c>
      <c r="I415" s="1">
        <v>132.0</v>
      </c>
    </row>
    <row r="416">
      <c r="A416" s="1" t="s">
        <v>665</v>
      </c>
      <c r="B416" s="1" t="s">
        <v>661</v>
      </c>
      <c r="C416" s="1" t="s">
        <v>664</v>
      </c>
      <c r="D416" s="1">
        <v>47.0</v>
      </c>
      <c r="E416" s="1" t="s">
        <v>308</v>
      </c>
      <c r="F416" s="1">
        <v>0.09909</v>
      </c>
      <c r="G416" s="1">
        <v>0.2559</v>
      </c>
      <c r="H416" s="2">
        <v>6.5703E-6</v>
      </c>
      <c r="I416" s="1">
        <v>132.0</v>
      </c>
    </row>
    <row r="417">
      <c r="A417" s="1" t="s">
        <v>525</v>
      </c>
      <c r="B417" s="1" t="s">
        <v>526</v>
      </c>
      <c r="C417" s="1" t="s">
        <v>467</v>
      </c>
      <c r="D417" s="1">
        <v>40.0</v>
      </c>
      <c r="E417" s="1" t="s">
        <v>308</v>
      </c>
      <c r="F417" s="1">
        <v>0.1101</v>
      </c>
      <c r="G417" s="1">
        <v>0.2559</v>
      </c>
      <c r="H417" s="2">
        <v>6.5703E-6</v>
      </c>
      <c r="I417" s="1">
        <v>132.0</v>
      </c>
    </row>
    <row r="418">
      <c r="A418" s="1" t="s">
        <v>666</v>
      </c>
      <c r="B418" s="1" t="s">
        <v>526</v>
      </c>
      <c r="C418" s="1" t="s">
        <v>467</v>
      </c>
      <c r="D418" s="1">
        <v>40.0</v>
      </c>
      <c r="E418" s="1" t="s">
        <v>308</v>
      </c>
      <c r="F418" s="1">
        <v>0.1101</v>
      </c>
      <c r="G418" s="1">
        <v>0.2559</v>
      </c>
      <c r="H418" s="2">
        <v>6.5703E-6</v>
      </c>
      <c r="I418" s="1">
        <v>132.0</v>
      </c>
    </row>
    <row r="419">
      <c r="A419" s="1" t="s">
        <v>667</v>
      </c>
      <c r="B419" s="1" t="s">
        <v>615</v>
      </c>
      <c r="C419" s="1" t="s">
        <v>668</v>
      </c>
      <c r="D419" s="1">
        <v>3.5</v>
      </c>
      <c r="E419" s="1" t="s">
        <v>616</v>
      </c>
      <c r="F419" s="1">
        <v>0.015</v>
      </c>
      <c r="G419" s="1">
        <v>0.12</v>
      </c>
      <c r="H419" s="2">
        <v>2.0E-5</v>
      </c>
      <c r="I419" s="1">
        <v>132.0</v>
      </c>
    </row>
    <row r="420">
      <c r="A420" s="1" t="s">
        <v>669</v>
      </c>
      <c r="B420" s="1" t="s">
        <v>615</v>
      </c>
      <c r="C420" s="1" t="s">
        <v>668</v>
      </c>
      <c r="D420" s="1">
        <v>3.5</v>
      </c>
      <c r="E420" s="1" t="s">
        <v>616</v>
      </c>
      <c r="F420" s="1">
        <v>0.015</v>
      </c>
      <c r="G420" s="1">
        <v>0.12</v>
      </c>
      <c r="H420" s="2">
        <v>2.0E-5</v>
      </c>
      <c r="I420" s="1">
        <v>132.0</v>
      </c>
    </row>
    <row r="421">
      <c r="A421" s="1" t="s">
        <v>670</v>
      </c>
      <c r="B421" s="1" t="s">
        <v>391</v>
      </c>
      <c r="C421" s="1" t="s">
        <v>671</v>
      </c>
      <c r="D421" s="1">
        <v>4.0</v>
      </c>
      <c r="E421" s="1" t="s">
        <v>308</v>
      </c>
      <c r="F421" s="1">
        <v>0.1101</v>
      </c>
      <c r="G421" s="1">
        <v>0.2559</v>
      </c>
      <c r="H421" s="2">
        <v>6.5703E-6</v>
      </c>
      <c r="I421" s="1">
        <v>132.0</v>
      </c>
    </row>
    <row r="422">
      <c r="A422" s="1" t="s">
        <v>672</v>
      </c>
      <c r="B422" s="1" t="s">
        <v>391</v>
      </c>
      <c r="C422" s="1" t="s">
        <v>671</v>
      </c>
      <c r="D422" s="1">
        <v>4.0</v>
      </c>
      <c r="E422" s="1" t="s">
        <v>308</v>
      </c>
      <c r="F422" s="1">
        <v>0.1101</v>
      </c>
      <c r="G422" s="1">
        <v>0.2559</v>
      </c>
      <c r="H422" s="2">
        <v>6.5703E-6</v>
      </c>
      <c r="I422" s="1">
        <v>132.0</v>
      </c>
    </row>
    <row r="423">
      <c r="A423" s="1" t="s">
        <v>673</v>
      </c>
      <c r="B423" s="1" t="s">
        <v>402</v>
      </c>
      <c r="C423" s="1" t="s">
        <v>674</v>
      </c>
      <c r="D423" s="1">
        <v>6.0</v>
      </c>
      <c r="E423" s="1" t="s">
        <v>308</v>
      </c>
      <c r="F423" s="1">
        <v>0.1101</v>
      </c>
      <c r="G423" s="1">
        <v>0.2559</v>
      </c>
      <c r="H423" s="2">
        <v>6.5703E-6</v>
      </c>
      <c r="I423" s="1">
        <v>132.0</v>
      </c>
    </row>
    <row r="424">
      <c r="A424" s="1" t="s">
        <v>675</v>
      </c>
      <c r="B424" s="1" t="s">
        <v>402</v>
      </c>
      <c r="C424" s="1" t="s">
        <v>674</v>
      </c>
      <c r="D424" s="1">
        <v>6.0</v>
      </c>
      <c r="E424" s="1" t="s">
        <v>308</v>
      </c>
      <c r="F424" s="1">
        <v>0.1101</v>
      </c>
      <c r="G424" s="1">
        <v>0.2559</v>
      </c>
      <c r="H424" s="2">
        <v>6.5703E-6</v>
      </c>
      <c r="I424" s="1">
        <v>132.0</v>
      </c>
    </row>
    <row r="425">
      <c r="A425" s="1" t="s">
        <v>676</v>
      </c>
      <c r="B425" s="1" t="s">
        <v>407</v>
      </c>
      <c r="C425" s="1" t="s">
        <v>671</v>
      </c>
      <c r="D425" s="1">
        <v>15.0</v>
      </c>
      <c r="E425" s="1" t="s">
        <v>308</v>
      </c>
      <c r="F425" s="1">
        <v>0.1101</v>
      </c>
      <c r="G425" s="1">
        <v>0.2559</v>
      </c>
      <c r="H425" s="2">
        <v>6.5703E-6</v>
      </c>
      <c r="I425" s="1">
        <v>132.0</v>
      </c>
    </row>
    <row r="426">
      <c r="A426" s="1" t="s">
        <v>677</v>
      </c>
      <c r="B426" s="1" t="s">
        <v>407</v>
      </c>
      <c r="C426" s="1" t="s">
        <v>678</v>
      </c>
      <c r="D426" s="1">
        <v>7.5</v>
      </c>
      <c r="E426" s="1" t="s">
        <v>308</v>
      </c>
      <c r="F426" s="1">
        <v>0.1101</v>
      </c>
      <c r="G426" s="1">
        <v>0.2559</v>
      </c>
      <c r="H426" s="2">
        <v>6.5703E-6</v>
      </c>
      <c r="I426" s="1">
        <v>132.0</v>
      </c>
    </row>
    <row r="427">
      <c r="A427" s="1" t="s">
        <v>679</v>
      </c>
      <c r="B427" s="1" t="s">
        <v>678</v>
      </c>
      <c r="C427" s="1" t="s">
        <v>671</v>
      </c>
      <c r="D427" s="1">
        <v>7.5</v>
      </c>
      <c r="E427" s="1" t="s">
        <v>308</v>
      </c>
      <c r="F427" s="1"/>
      <c r="G427" s="1"/>
      <c r="H427" s="2"/>
      <c r="I427" s="1"/>
    </row>
    <row r="428">
      <c r="A428" s="1" t="s">
        <v>680</v>
      </c>
      <c r="B428" s="1" t="s">
        <v>368</v>
      </c>
      <c r="C428" s="1" t="s">
        <v>600</v>
      </c>
      <c r="D428" s="1">
        <v>13.0</v>
      </c>
      <c r="E428" s="1" t="s">
        <v>308</v>
      </c>
      <c r="F428" s="1">
        <v>0.1101</v>
      </c>
      <c r="G428" s="1">
        <v>0.2559</v>
      </c>
      <c r="H428" s="2">
        <v>6.5703E-6</v>
      </c>
      <c r="I428" s="1">
        <v>132.0</v>
      </c>
    </row>
    <row r="429">
      <c r="A429" s="1" t="s">
        <v>681</v>
      </c>
      <c r="B429" s="1" t="s">
        <v>630</v>
      </c>
      <c r="C429" s="1" t="s">
        <v>682</v>
      </c>
      <c r="D429" s="1">
        <v>8.0</v>
      </c>
      <c r="E429" s="1" t="s">
        <v>308</v>
      </c>
      <c r="F429" s="1">
        <v>0.1101</v>
      </c>
      <c r="G429" s="1">
        <v>0.2559</v>
      </c>
      <c r="H429" s="2">
        <v>6.5703E-6</v>
      </c>
      <c r="I429" s="1">
        <v>132.0</v>
      </c>
    </row>
    <row r="430">
      <c r="A430" s="1" t="s">
        <v>683</v>
      </c>
      <c r="B430" s="1" t="s">
        <v>630</v>
      </c>
      <c r="C430" s="1" t="s">
        <v>682</v>
      </c>
      <c r="D430" s="1">
        <v>8.0</v>
      </c>
      <c r="E430" s="1" t="s">
        <v>308</v>
      </c>
      <c r="F430" s="1">
        <v>0.1101</v>
      </c>
      <c r="G430" s="1">
        <v>0.2559</v>
      </c>
      <c r="H430" s="2">
        <v>6.5703E-6</v>
      </c>
      <c r="I430" s="1">
        <v>132.0</v>
      </c>
    </row>
    <row r="431">
      <c r="A431" s="1" t="s">
        <v>684</v>
      </c>
      <c r="B431" s="1" t="s">
        <v>682</v>
      </c>
      <c r="C431" s="1" t="s">
        <v>552</v>
      </c>
      <c r="D431" s="1">
        <v>10.0</v>
      </c>
      <c r="E431" s="1" t="s">
        <v>308</v>
      </c>
      <c r="F431" s="1">
        <v>0.1101</v>
      </c>
      <c r="G431" s="1">
        <v>0.2559</v>
      </c>
      <c r="H431" s="2">
        <v>6.5703E-6</v>
      </c>
      <c r="I431" s="1">
        <v>132.0</v>
      </c>
    </row>
    <row r="432">
      <c r="A432" s="1" t="s">
        <v>685</v>
      </c>
      <c r="B432" s="1" t="s">
        <v>682</v>
      </c>
      <c r="C432" s="1" t="s">
        <v>552</v>
      </c>
      <c r="D432" s="1">
        <v>10.0</v>
      </c>
      <c r="E432" s="1" t="s">
        <v>308</v>
      </c>
      <c r="F432" s="1">
        <v>0.1101</v>
      </c>
      <c r="G432" s="1">
        <v>0.2559</v>
      </c>
      <c r="H432" s="2">
        <v>6.5703E-6</v>
      </c>
      <c r="I432" s="1">
        <v>132.0</v>
      </c>
    </row>
    <row r="433">
      <c r="A433" s="1" t="s">
        <v>686</v>
      </c>
      <c r="B433" s="1" t="s">
        <v>391</v>
      </c>
      <c r="C433" s="1" t="s">
        <v>674</v>
      </c>
      <c r="D433" s="1">
        <v>9.0</v>
      </c>
      <c r="E433" s="1" t="s">
        <v>308</v>
      </c>
      <c r="F433" s="1">
        <v>0.1101</v>
      </c>
      <c r="G433" s="1">
        <v>0.2559</v>
      </c>
      <c r="H433" s="2">
        <v>6.5703E-6</v>
      </c>
      <c r="I433" s="1">
        <v>132.0</v>
      </c>
    </row>
    <row r="434">
      <c r="A434" s="1" t="s">
        <v>687</v>
      </c>
      <c r="B434" s="1" t="s">
        <v>391</v>
      </c>
      <c r="C434" s="1" t="s">
        <v>674</v>
      </c>
      <c r="D434" s="1">
        <v>9.0</v>
      </c>
      <c r="E434" s="1" t="s">
        <v>308</v>
      </c>
      <c r="F434" s="1">
        <v>0.1101</v>
      </c>
      <c r="G434" s="1">
        <v>0.2559</v>
      </c>
      <c r="H434" s="2">
        <v>6.5703E-6</v>
      </c>
      <c r="I434" s="1">
        <v>132.0</v>
      </c>
    </row>
    <row r="435">
      <c r="A435" s="1" t="s">
        <v>688</v>
      </c>
      <c r="B435" s="1" t="s">
        <v>407</v>
      </c>
      <c r="C435" s="1" t="s">
        <v>405</v>
      </c>
      <c r="D435" s="1">
        <v>13.0</v>
      </c>
      <c r="E435" s="1" t="s">
        <v>308</v>
      </c>
      <c r="F435" s="1">
        <v>0.1101</v>
      </c>
      <c r="G435" s="1">
        <v>0.2559</v>
      </c>
      <c r="H435" s="2">
        <v>6.5703E-6</v>
      </c>
      <c r="I435" s="1">
        <v>132.0</v>
      </c>
    </row>
    <row r="436">
      <c r="A436" s="1" t="s">
        <v>689</v>
      </c>
      <c r="B436" s="1" t="s">
        <v>407</v>
      </c>
      <c r="C436" s="1" t="s">
        <v>405</v>
      </c>
      <c r="D436" s="1">
        <v>13.0</v>
      </c>
      <c r="E436" s="1" t="s">
        <v>308</v>
      </c>
      <c r="F436" s="1">
        <v>0.1101</v>
      </c>
      <c r="G436" s="1">
        <v>0.2559</v>
      </c>
      <c r="H436" s="2">
        <v>6.5703E-6</v>
      </c>
      <c r="I436" s="1">
        <v>132.0</v>
      </c>
    </row>
    <row r="437">
      <c r="A437" s="1" t="s">
        <v>690</v>
      </c>
      <c r="B437" s="1" t="s">
        <v>407</v>
      </c>
      <c r="C437" s="1" t="s">
        <v>691</v>
      </c>
      <c r="D437" s="3">
        <v>5.0</v>
      </c>
      <c r="E437" s="1" t="s">
        <v>308</v>
      </c>
      <c r="F437" s="1"/>
      <c r="G437" s="1"/>
      <c r="H437" s="2"/>
      <c r="I437" s="1"/>
    </row>
    <row r="438">
      <c r="A438" s="1" t="s">
        <v>692</v>
      </c>
      <c r="B438" s="1" t="s">
        <v>407</v>
      </c>
      <c r="C438" s="1" t="s">
        <v>691</v>
      </c>
      <c r="D438" s="3">
        <v>5.0</v>
      </c>
      <c r="E438" s="1" t="s">
        <v>308</v>
      </c>
      <c r="F438" s="1"/>
      <c r="G438" s="1"/>
      <c r="H438" s="2"/>
      <c r="I438" s="1"/>
    </row>
    <row r="439">
      <c r="A439" s="1" t="s">
        <v>693</v>
      </c>
      <c r="B439" s="1" t="s">
        <v>691</v>
      </c>
      <c r="C439" s="1" t="s">
        <v>405</v>
      </c>
      <c r="D439" s="3">
        <v>9.0</v>
      </c>
      <c r="E439" s="1" t="s">
        <v>308</v>
      </c>
      <c r="F439" s="1"/>
      <c r="G439" s="1"/>
      <c r="H439" s="2"/>
      <c r="I439" s="1"/>
    </row>
    <row r="440">
      <c r="A440" s="1" t="s">
        <v>694</v>
      </c>
      <c r="B440" s="1" t="s">
        <v>691</v>
      </c>
      <c r="C440" s="1" t="s">
        <v>405</v>
      </c>
      <c r="D440" s="3">
        <v>9.0</v>
      </c>
      <c r="E440" s="1" t="s">
        <v>308</v>
      </c>
      <c r="F440" s="1"/>
      <c r="G440" s="1"/>
      <c r="H440" s="2"/>
      <c r="I440" s="1"/>
    </row>
    <row r="441">
      <c r="A441" s="1" t="s">
        <v>695</v>
      </c>
      <c r="B441" s="1" t="s">
        <v>696</v>
      </c>
      <c r="C441" s="1" t="s">
        <v>470</v>
      </c>
      <c r="D441" s="1">
        <v>1.5</v>
      </c>
      <c r="E441" s="1" t="s">
        <v>177</v>
      </c>
      <c r="F441" s="1">
        <v>0.049545</v>
      </c>
      <c r="G441" s="1">
        <v>0.140636</v>
      </c>
      <c r="H441" s="2">
        <v>1.3141E-5</v>
      </c>
      <c r="I441" s="1">
        <v>132.0</v>
      </c>
    </row>
    <row r="442">
      <c r="A442" s="1" t="s">
        <v>697</v>
      </c>
      <c r="B442" s="1" t="s">
        <v>696</v>
      </c>
      <c r="C442" s="1" t="s">
        <v>470</v>
      </c>
      <c r="D442" s="1">
        <v>1.5</v>
      </c>
      <c r="E442" s="1" t="s">
        <v>177</v>
      </c>
      <c r="F442" s="1">
        <v>0.049545</v>
      </c>
      <c r="G442" s="1">
        <v>0.140636</v>
      </c>
      <c r="H442" s="2">
        <v>1.3141E-5</v>
      </c>
      <c r="I442" s="1">
        <v>132.0</v>
      </c>
    </row>
    <row r="443">
      <c r="A443" s="1" t="s">
        <v>698</v>
      </c>
      <c r="B443" s="1" t="s">
        <v>311</v>
      </c>
      <c r="C443" s="1" t="s">
        <v>306</v>
      </c>
      <c r="D443" s="1">
        <v>53.0</v>
      </c>
      <c r="E443" s="1" t="s">
        <v>308</v>
      </c>
      <c r="F443" s="1">
        <v>0.1101</v>
      </c>
      <c r="G443" s="1">
        <v>0.2559</v>
      </c>
      <c r="H443" s="2">
        <v>6.5703E-6</v>
      </c>
      <c r="I443" s="1">
        <v>132.0</v>
      </c>
    </row>
    <row r="444">
      <c r="A444" s="1" t="s">
        <v>699</v>
      </c>
      <c r="B444" s="1" t="s">
        <v>661</v>
      </c>
      <c r="C444" s="1" t="s">
        <v>700</v>
      </c>
      <c r="D444" s="1">
        <v>4.0</v>
      </c>
      <c r="E444" s="1" t="s">
        <v>308</v>
      </c>
      <c r="F444" s="1">
        <v>0.1101</v>
      </c>
      <c r="G444" s="1">
        <v>0.2559</v>
      </c>
      <c r="H444" s="2">
        <v>6.5703E-6</v>
      </c>
      <c r="I444" s="1">
        <v>132.0</v>
      </c>
    </row>
    <row r="445">
      <c r="A445" s="1" t="s">
        <v>701</v>
      </c>
      <c r="B445" s="1" t="s">
        <v>661</v>
      </c>
      <c r="C445" s="1" t="s">
        <v>700</v>
      </c>
      <c r="D445" s="1">
        <v>4.0</v>
      </c>
      <c r="E445" s="1" t="s">
        <v>308</v>
      </c>
      <c r="F445" s="1">
        <v>0.1101</v>
      </c>
      <c r="G445" s="1">
        <v>0.2559</v>
      </c>
      <c r="H445" s="2">
        <v>6.5703E-6</v>
      </c>
      <c r="I445" s="1">
        <v>132.0</v>
      </c>
    </row>
    <row r="446">
      <c r="A446" s="1" t="s">
        <v>702</v>
      </c>
      <c r="B446" s="1" t="s">
        <v>549</v>
      </c>
      <c r="C446" s="1" t="s">
        <v>703</v>
      </c>
      <c r="D446" s="1">
        <v>46.0</v>
      </c>
      <c r="E446" s="1" t="s">
        <v>308</v>
      </c>
      <c r="F446" s="1">
        <v>0.09909</v>
      </c>
      <c r="G446" s="1">
        <v>0.2559</v>
      </c>
      <c r="H446" s="2">
        <v>6.5703E-6</v>
      </c>
      <c r="I446" s="1">
        <v>132.0</v>
      </c>
    </row>
    <row r="447">
      <c r="A447" s="1" t="s">
        <v>704</v>
      </c>
      <c r="B447" s="1" t="s">
        <v>562</v>
      </c>
      <c r="C447" s="1" t="s">
        <v>705</v>
      </c>
      <c r="D447" s="1">
        <v>16.0</v>
      </c>
      <c r="E447" s="1" t="s">
        <v>308</v>
      </c>
      <c r="F447" s="1">
        <v>0.1101</v>
      </c>
      <c r="G447" s="1">
        <v>0.2559</v>
      </c>
      <c r="H447" s="2">
        <v>6.5703E-6</v>
      </c>
      <c r="I447" s="1">
        <v>132.0</v>
      </c>
    </row>
    <row r="448">
      <c r="A448" s="1" t="s">
        <v>706</v>
      </c>
      <c r="B448" s="1" t="s">
        <v>562</v>
      </c>
      <c r="C448" s="1" t="s">
        <v>705</v>
      </c>
      <c r="D448" s="1">
        <v>16.0</v>
      </c>
      <c r="E448" s="1" t="s">
        <v>308</v>
      </c>
      <c r="F448" s="1">
        <v>0.1101</v>
      </c>
      <c r="G448" s="1">
        <v>0.2559</v>
      </c>
      <c r="H448" s="2">
        <v>6.5703E-6</v>
      </c>
      <c r="I448" s="1">
        <v>132.0</v>
      </c>
    </row>
    <row r="449">
      <c r="A449" s="1" t="s">
        <v>707</v>
      </c>
      <c r="B449" s="1" t="s">
        <v>457</v>
      </c>
      <c r="C449" s="1" t="s">
        <v>708</v>
      </c>
      <c r="D449" s="1">
        <v>26.5</v>
      </c>
      <c r="E449" s="1" t="s">
        <v>308</v>
      </c>
      <c r="F449" s="1">
        <v>0.1101</v>
      </c>
      <c r="G449" s="1">
        <v>0.2559</v>
      </c>
      <c r="H449" s="2">
        <v>6.5703E-6</v>
      </c>
      <c r="I449" s="1">
        <v>132.0</v>
      </c>
    </row>
    <row r="450">
      <c r="A450" s="1" t="s">
        <v>709</v>
      </c>
      <c r="B450" s="1" t="s">
        <v>457</v>
      </c>
      <c r="C450" s="1" t="s">
        <v>708</v>
      </c>
      <c r="D450" s="1">
        <v>26.5</v>
      </c>
      <c r="E450" s="1" t="s">
        <v>308</v>
      </c>
      <c r="F450" s="1">
        <v>0.1101</v>
      </c>
      <c r="G450" s="1">
        <v>0.2559</v>
      </c>
      <c r="H450" s="2">
        <v>6.5703E-6</v>
      </c>
      <c r="I450" s="1">
        <v>132.0</v>
      </c>
    </row>
    <row r="451">
      <c r="A451" s="1" t="s">
        <v>710</v>
      </c>
      <c r="B451" s="1" t="s">
        <v>457</v>
      </c>
      <c r="C451" s="1" t="s">
        <v>454</v>
      </c>
      <c r="D451" s="3">
        <v>5.0</v>
      </c>
      <c r="E451" s="1" t="s">
        <v>308</v>
      </c>
      <c r="F451" s="1">
        <v>0.1101</v>
      </c>
      <c r="G451" s="1">
        <v>0.2559</v>
      </c>
      <c r="H451" s="2">
        <v>6.5703E-6</v>
      </c>
      <c r="I451" s="1">
        <v>132.0</v>
      </c>
    </row>
    <row r="452">
      <c r="A452" s="1" t="s">
        <v>711</v>
      </c>
      <c r="B452" s="1" t="s">
        <v>454</v>
      </c>
      <c r="C452" s="1" t="s">
        <v>712</v>
      </c>
      <c r="D452" s="1">
        <v>39.0</v>
      </c>
      <c r="E452" s="1" t="s">
        <v>308</v>
      </c>
      <c r="F452" s="1">
        <v>0.1101</v>
      </c>
      <c r="G452" s="1">
        <v>0.2559</v>
      </c>
      <c r="H452" s="2">
        <v>6.5703E-6</v>
      </c>
      <c r="I452" s="1">
        <v>132.0</v>
      </c>
    </row>
    <row r="453">
      <c r="A453" s="1" t="s">
        <v>713</v>
      </c>
      <c r="B453" s="1" t="s">
        <v>549</v>
      </c>
      <c r="C453" s="1" t="s">
        <v>714</v>
      </c>
      <c r="D453" s="1">
        <v>46.0</v>
      </c>
      <c r="E453" s="1" t="s">
        <v>308</v>
      </c>
      <c r="F453" s="1">
        <v>0.1101</v>
      </c>
      <c r="G453" s="1">
        <v>0.2559</v>
      </c>
      <c r="H453" s="2">
        <v>6.5703E-6</v>
      </c>
      <c r="I453" s="1">
        <v>132.0</v>
      </c>
    </row>
    <row r="454">
      <c r="A454" s="1" t="s">
        <v>715</v>
      </c>
      <c r="B454" s="1" t="s">
        <v>549</v>
      </c>
      <c r="C454" s="1" t="s">
        <v>714</v>
      </c>
      <c r="D454" s="1">
        <v>46.0</v>
      </c>
      <c r="E454" s="1" t="s">
        <v>308</v>
      </c>
      <c r="F454" s="1">
        <v>0.1101</v>
      </c>
      <c r="G454" s="1">
        <v>0.2559</v>
      </c>
      <c r="H454" s="2">
        <v>6.5703E-6</v>
      </c>
      <c r="I454" s="1">
        <v>132.0</v>
      </c>
    </row>
    <row r="455">
      <c r="A455" s="1" t="s">
        <v>716</v>
      </c>
      <c r="B455" s="1" t="s">
        <v>497</v>
      </c>
      <c r="C455" s="1" t="s">
        <v>717</v>
      </c>
      <c r="D455" s="1">
        <v>45.0</v>
      </c>
      <c r="E455" s="1" t="s">
        <v>308</v>
      </c>
      <c r="F455" s="1">
        <v>0.09909</v>
      </c>
      <c r="G455" s="1">
        <v>0.2559</v>
      </c>
      <c r="H455" s="2">
        <v>6.5703E-6</v>
      </c>
      <c r="I455" s="1">
        <v>132.0</v>
      </c>
    </row>
    <row r="456">
      <c r="A456" s="1" t="s">
        <v>718</v>
      </c>
      <c r="B456" s="1" t="s">
        <v>497</v>
      </c>
      <c r="C456" s="1" t="s">
        <v>717</v>
      </c>
      <c r="D456" s="1">
        <v>45.0</v>
      </c>
      <c r="E456" s="1" t="s">
        <v>308</v>
      </c>
      <c r="F456" s="1">
        <v>0.09909</v>
      </c>
      <c r="G456" s="1">
        <v>0.2559</v>
      </c>
      <c r="H456" s="2">
        <v>6.5703E-6</v>
      </c>
      <c r="I456" s="1">
        <v>132.0</v>
      </c>
    </row>
    <row r="457">
      <c r="A457" s="1" t="s">
        <v>719</v>
      </c>
      <c r="B457" s="1" t="s">
        <v>365</v>
      </c>
      <c r="C457" s="1" t="s">
        <v>720</v>
      </c>
      <c r="D457" s="1">
        <v>5.0</v>
      </c>
      <c r="E457" s="1" t="s">
        <v>308</v>
      </c>
      <c r="F457" s="1">
        <v>0.1101</v>
      </c>
      <c r="G457" s="1">
        <v>0.2559</v>
      </c>
      <c r="H457" s="2">
        <v>6.5703E-6</v>
      </c>
      <c r="I457" s="1">
        <v>132.0</v>
      </c>
    </row>
    <row r="458">
      <c r="A458" s="1" t="s">
        <v>721</v>
      </c>
      <c r="B458" s="1" t="s">
        <v>365</v>
      </c>
      <c r="C458" s="1" t="s">
        <v>720</v>
      </c>
      <c r="D458" s="1">
        <v>5.0</v>
      </c>
      <c r="E458" s="1" t="s">
        <v>308</v>
      </c>
      <c r="F458" s="1">
        <v>0.1101</v>
      </c>
      <c r="G458" s="1">
        <v>0.2559</v>
      </c>
      <c r="H458" s="2">
        <v>6.5703E-6</v>
      </c>
      <c r="I458" s="1">
        <v>132.0</v>
      </c>
    </row>
    <row r="459">
      <c r="A459" s="1" t="s">
        <v>722</v>
      </c>
      <c r="B459" s="1" t="s">
        <v>325</v>
      </c>
      <c r="C459" s="1" t="s">
        <v>723</v>
      </c>
      <c r="D459" s="1">
        <v>2.0</v>
      </c>
      <c r="E459" s="1" t="s">
        <v>308</v>
      </c>
      <c r="F459" s="1">
        <v>0.1101</v>
      </c>
      <c r="G459" s="1">
        <v>0.2559</v>
      </c>
      <c r="H459" s="2">
        <v>6.5703E-6</v>
      </c>
      <c r="I459" s="1">
        <v>132.0</v>
      </c>
    </row>
    <row r="460">
      <c r="A460" s="1" t="s">
        <v>440</v>
      </c>
      <c r="B460" s="1" t="s">
        <v>441</v>
      </c>
      <c r="C460" s="1" t="s">
        <v>442</v>
      </c>
      <c r="D460" s="1">
        <v>2.0</v>
      </c>
      <c r="E460" s="1" t="s">
        <v>308</v>
      </c>
      <c r="F460" s="1">
        <v>0.015</v>
      </c>
      <c r="G460" s="1">
        <v>0.12</v>
      </c>
      <c r="H460" s="2">
        <v>2.0E-5</v>
      </c>
      <c r="I460" s="1">
        <v>132.0</v>
      </c>
    </row>
    <row r="461">
      <c r="A461" s="1" t="s">
        <v>443</v>
      </c>
      <c r="B461" s="1" t="s">
        <v>441</v>
      </c>
      <c r="C461" s="1" t="s">
        <v>442</v>
      </c>
      <c r="D461" s="1">
        <v>2.0</v>
      </c>
      <c r="E461" s="1" t="s">
        <v>308</v>
      </c>
      <c r="F461" s="1">
        <v>0.015</v>
      </c>
      <c r="G461" s="1">
        <v>0.12</v>
      </c>
      <c r="H461" s="2">
        <v>2.0E-5</v>
      </c>
      <c r="I461" s="1">
        <v>132.0</v>
      </c>
    </row>
    <row r="462">
      <c r="A462" s="1" t="s">
        <v>724</v>
      </c>
      <c r="B462" s="1" t="s">
        <v>445</v>
      </c>
      <c r="C462" s="1" t="s">
        <v>725</v>
      </c>
      <c r="D462" s="1">
        <v>2.0</v>
      </c>
      <c r="E462" s="1" t="s">
        <v>308</v>
      </c>
      <c r="F462" s="1">
        <v>0.1101</v>
      </c>
      <c r="G462" s="1">
        <v>0.2559</v>
      </c>
      <c r="H462" s="2">
        <v>6.5703E-6</v>
      </c>
      <c r="I462" s="1">
        <v>132.0</v>
      </c>
    </row>
    <row r="463">
      <c r="A463" s="1" t="s">
        <v>726</v>
      </c>
      <c r="B463" s="1" t="s">
        <v>362</v>
      </c>
      <c r="C463" s="1" t="s">
        <v>727</v>
      </c>
      <c r="D463" s="1">
        <v>1.0</v>
      </c>
      <c r="E463" s="1" t="s">
        <v>308</v>
      </c>
      <c r="F463" s="1">
        <v>0.1101</v>
      </c>
      <c r="G463" s="1">
        <v>0.2559</v>
      </c>
      <c r="H463" s="2">
        <v>6.5703E-6</v>
      </c>
      <c r="I463" s="1">
        <v>132.0</v>
      </c>
    </row>
    <row r="464">
      <c r="A464" s="1" t="s">
        <v>728</v>
      </c>
      <c r="B464" s="1" t="s">
        <v>651</v>
      </c>
      <c r="C464" s="1" t="s">
        <v>729</v>
      </c>
      <c r="D464" s="1">
        <v>1.0</v>
      </c>
      <c r="E464" s="1" t="s">
        <v>308</v>
      </c>
      <c r="F464" s="1">
        <v>0.1101</v>
      </c>
      <c r="G464" s="1">
        <v>0.2559</v>
      </c>
      <c r="H464" s="2">
        <v>6.5703E-6</v>
      </c>
      <c r="I464" s="1">
        <v>132.0</v>
      </c>
    </row>
    <row r="465">
      <c r="A465" s="1" t="s">
        <v>730</v>
      </c>
      <c r="B465" s="1" t="s">
        <v>325</v>
      </c>
      <c r="C465" s="1" t="s">
        <v>731</v>
      </c>
      <c r="D465" s="1">
        <v>3.0</v>
      </c>
      <c r="E465" s="1" t="s">
        <v>308</v>
      </c>
      <c r="F465" s="1">
        <v>0.1101</v>
      </c>
      <c r="G465" s="1">
        <v>0.2559</v>
      </c>
      <c r="H465" s="2">
        <v>6.5703E-6</v>
      </c>
      <c r="I465" s="1">
        <v>132.0</v>
      </c>
    </row>
    <row r="466">
      <c r="A466" s="1" t="s">
        <v>732</v>
      </c>
      <c r="B466" s="1" t="s">
        <v>515</v>
      </c>
      <c r="C466" s="1" t="s">
        <v>733</v>
      </c>
      <c r="D466" s="1">
        <v>1.0</v>
      </c>
      <c r="E466" s="1" t="s">
        <v>308</v>
      </c>
      <c r="F466" s="1">
        <v>0.1101</v>
      </c>
      <c r="G466" s="1">
        <v>0.2559</v>
      </c>
      <c r="H466" s="2">
        <v>6.5703E-6</v>
      </c>
      <c r="I466" s="1">
        <v>132.0</v>
      </c>
    </row>
    <row r="467">
      <c r="A467" s="1" t="s">
        <v>734</v>
      </c>
      <c r="B467" s="1" t="s">
        <v>528</v>
      </c>
      <c r="C467" s="1" t="s">
        <v>735</v>
      </c>
      <c r="D467" s="3">
        <v>11.0</v>
      </c>
      <c r="E467" s="1" t="s">
        <v>308</v>
      </c>
      <c r="F467" s="1"/>
      <c r="G467" s="1"/>
      <c r="H467" s="2"/>
      <c r="I467" s="1"/>
    </row>
    <row r="468">
      <c r="A468" s="1" t="s">
        <v>736</v>
      </c>
      <c r="B468" s="1" t="s">
        <v>735</v>
      </c>
      <c r="C468" s="1" t="s">
        <v>737</v>
      </c>
      <c r="D468" s="3">
        <v>5.0</v>
      </c>
      <c r="E468" s="1" t="s">
        <v>308</v>
      </c>
      <c r="F468" s="1">
        <v>0.1101</v>
      </c>
      <c r="G468" s="1">
        <v>0.2559</v>
      </c>
      <c r="H468" s="2">
        <v>6.5703E-6</v>
      </c>
      <c r="I468" s="1">
        <v>132.0</v>
      </c>
    </row>
    <row r="469">
      <c r="A469" s="1" t="s">
        <v>738</v>
      </c>
      <c r="B469" s="1" t="s">
        <v>737</v>
      </c>
      <c r="C469" s="1" t="s">
        <v>464</v>
      </c>
      <c r="D469" s="3">
        <v>67.0</v>
      </c>
      <c r="E469" s="1" t="s">
        <v>308</v>
      </c>
      <c r="F469" s="1"/>
      <c r="G469" s="1"/>
      <c r="H469" s="2"/>
      <c r="I469" s="1"/>
    </row>
    <row r="470">
      <c r="A470" s="1" t="s">
        <v>739</v>
      </c>
      <c r="B470" s="1" t="s">
        <v>544</v>
      </c>
      <c r="C470" s="1" t="s">
        <v>740</v>
      </c>
      <c r="D470" s="3">
        <v>45.0</v>
      </c>
      <c r="E470" s="1" t="s">
        <v>308</v>
      </c>
    </row>
    <row r="471">
      <c r="A471" s="1" t="s">
        <v>741</v>
      </c>
      <c r="B471" s="1" t="s">
        <v>544</v>
      </c>
      <c r="C471" s="1" t="s">
        <v>742</v>
      </c>
      <c r="D471" s="3">
        <v>30.0</v>
      </c>
      <c r="E471" s="1" t="s">
        <v>308</v>
      </c>
      <c r="F471" s="1"/>
      <c r="G471" s="1"/>
      <c r="H471" s="2"/>
      <c r="I471" s="1"/>
    </row>
    <row r="472">
      <c r="A472" s="1" t="s">
        <v>743</v>
      </c>
      <c r="B472" s="1" t="s">
        <v>742</v>
      </c>
      <c r="C472" s="1" t="s">
        <v>740</v>
      </c>
      <c r="D472" s="1">
        <v>13.0</v>
      </c>
      <c r="E472" s="1" t="s">
        <v>308</v>
      </c>
      <c r="F472" s="1">
        <v>0.1101</v>
      </c>
      <c r="G472" s="1">
        <v>0.2559</v>
      </c>
      <c r="H472" s="2">
        <v>6.5703E-6</v>
      </c>
      <c r="I472" s="1">
        <v>132.0</v>
      </c>
    </row>
    <row r="473">
      <c r="A473" s="1" t="s">
        <v>744</v>
      </c>
      <c r="B473" s="1" t="s">
        <v>586</v>
      </c>
      <c r="C473" s="1" t="s">
        <v>745</v>
      </c>
      <c r="D473" s="1">
        <v>4.0</v>
      </c>
      <c r="E473" s="1" t="s">
        <v>308</v>
      </c>
      <c r="F473" s="1">
        <v>0.1101</v>
      </c>
      <c r="G473" s="1">
        <v>0.2559</v>
      </c>
      <c r="H473" s="2">
        <v>6.5703E-6</v>
      </c>
      <c r="I473" s="1">
        <v>132.0</v>
      </c>
    </row>
    <row r="474">
      <c r="A474" s="1" t="s">
        <v>746</v>
      </c>
      <c r="B474" s="1" t="s">
        <v>586</v>
      </c>
      <c r="C474" s="1" t="s">
        <v>745</v>
      </c>
      <c r="D474" s="1">
        <v>4.0</v>
      </c>
      <c r="E474" s="1" t="s">
        <v>308</v>
      </c>
      <c r="F474" s="1">
        <v>0.1101</v>
      </c>
      <c r="G474" s="1">
        <v>0.2559</v>
      </c>
      <c r="H474" s="2">
        <v>6.5703E-6</v>
      </c>
      <c r="I474" s="1">
        <v>132.0</v>
      </c>
    </row>
    <row r="475">
      <c r="A475" s="1" t="s">
        <v>747</v>
      </c>
      <c r="B475" s="1" t="s">
        <v>748</v>
      </c>
      <c r="C475" s="1" t="s">
        <v>749</v>
      </c>
      <c r="D475" s="1">
        <v>7.0</v>
      </c>
      <c r="E475" s="1" t="s">
        <v>616</v>
      </c>
      <c r="F475" s="1">
        <v>0.015</v>
      </c>
      <c r="G475" s="1">
        <v>0.12</v>
      </c>
      <c r="H475" s="2">
        <v>2.0E-5</v>
      </c>
      <c r="I475" s="1">
        <v>132.0</v>
      </c>
    </row>
    <row r="476">
      <c r="A476" s="1" t="s">
        <v>750</v>
      </c>
      <c r="B476" s="1" t="s">
        <v>748</v>
      </c>
      <c r="C476" s="1" t="s">
        <v>749</v>
      </c>
      <c r="D476" s="1">
        <v>7.0</v>
      </c>
      <c r="E476" s="1" t="s">
        <v>616</v>
      </c>
      <c r="F476" s="1">
        <v>0.015</v>
      </c>
      <c r="G476" s="1">
        <v>0.12</v>
      </c>
      <c r="H476" s="2">
        <v>2.0E-5</v>
      </c>
      <c r="I476" s="1">
        <v>132.0</v>
      </c>
    </row>
    <row r="477">
      <c r="A477" s="1" t="s">
        <v>751</v>
      </c>
      <c r="B477" s="1" t="s">
        <v>331</v>
      </c>
      <c r="C477" s="1" t="s">
        <v>752</v>
      </c>
      <c r="D477" s="1">
        <v>25.0</v>
      </c>
      <c r="E477" s="1" t="s">
        <v>308</v>
      </c>
      <c r="F477" s="1">
        <v>0.1101</v>
      </c>
      <c r="G477" s="1">
        <v>0.2559</v>
      </c>
      <c r="H477" s="2">
        <v>6.5703E-6</v>
      </c>
      <c r="I477" s="1">
        <v>132.0</v>
      </c>
    </row>
    <row r="478">
      <c r="A478" s="1" t="s">
        <v>753</v>
      </c>
      <c r="B478" s="1" t="s">
        <v>331</v>
      </c>
      <c r="C478" s="1" t="s">
        <v>752</v>
      </c>
      <c r="D478" s="1">
        <v>25.0</v>
      </c>
      <c r="E478" s="1" t="s">
        <v>308</v>
      </c>
      <c r="F478" s="1">
        <v>0.1101</v>
      </c>
      <c r="G478" s="1">
        <v>0.2559</v>
      </c>
      <c r="H478" s="2">
        <v>6.5703E-6</v>
      </c>
      <c r="I478" s="1">
        <v>132.0</v>
      </c>
    </row>
    <row r="479">
      <c r="A479" s="1" t="s">
        <v>754</v>
      </c>
      <c r="B479" s="1" t="s">
        <v>387</v>
      </c>
      <c r="C479" s="1" t="s">
        <v>755</v>
      </c>
      <c r="D479" s="1">
        <v>5.0</v>
      </c>
      <c r="E479" s="1" t="s">
        <v>308</v>
      </c>
      <c r="F479" s="1">
        <v>0.1101</v>
      </c>
      <c r="G479" s="1">
        <v>0.2559</v>
      </c>
      <c r="H479" s="2">
        <v>6.5703E-6</v>
      </c>
      <c r="I479" s="1">
        <v>132.0</v>
      </c>
    </row>
    <row r="480">
      <c r="A480" s="1" t="s">
        <v>756</v>
      </c>
      <c r="B480" s="1" t="s">
        <v>387</v>
      </c>
      <c r="C480" s="1" t="s">
        <v>755</v>
      </c>
      <c r="D480" s="1">
        <v>5.0</v>
      </c>
      <c r="E480" s="1" t="s">
        <v>308</v>
      </c>
      <c r="F480" s="1">
        <v>0.1101</v>
      </c>
      <c r="G480" s="1">
        <v>0.2559</v>
      </c>
      <c r="H480" s="2">
        <v>6.5703E-6</v>
      </c>
      <c r="I480" s="1">
        <v>132.0</v>
      </c>
    </row>
    <row r="481">
      <c r="A481" s="1" t="s">
        <v>757</v>
      </c>
      <c r="B481" s="1" t="s">
        <v>755</v>
      </c>
      <c r="C481" s="1" t="s">
        <v>758</v>
      </c>
      <c r="D481" s="1">
        <v>15.0</v>
      </c>
      <c r="E481" s="1" t="s">
        <v>308</v>
      </c>
      <c r="F481" s="1"/>
      <c r="G481" s="1"/>
      <c r="H481" s="2"/>
      <c r="I481" s="1"/>
    </row>
    <row r="482">
      <c r="A482" s="1" t="s">
        <v>759</v>
      </c>
      <c r="B482" s="1" t="s">
        <v>755</v>
      </c>
      <c r="C482" s="1" t="s">
        <v>758</v>
      </c>
      <c r="D482" s="1">
        <v>15.0</v>
      </c>
      <c r="E482" s="1" t="s">
        <v>308</v>
      </c>
      <c r="F482" s="1"/>
      <c r="G482" s="1"/>
      <c r="H482" s="2"/>
      <c r="I482" s="1"/>
    </row>
    <row r="483">
      <c r="A483" s="1" t="s">
        <v>760</v>
      </c>
      <c r="B483" s="1" t="s">
        <v>748</v>
      </c>
      <c r="C483" s="1" t="s">
        <v>761</v>
      </c>
      <c r="D483" s="1">
        <v>8.5</v>
      </c>
      <c r="E483" s="1" t="s">
        <v>616</v>
      </c>
      <c r="F483" s="1">
        <v>0.015</v>
      </c>
      <c r="G483" s="1">
        <v>0.12</v>
      </c>
      <c r="H483" s="2">
        <v>2.0E-5</v>
      </c>
      <c r="I483" s="1">
        <v>132.0</v>
      </c>
    </row>
    <row r="484">
      <c r="A484" s="1" t="s">
        <v>762</v>
      </c>
      <c r="B484" s="1" t="s">
        <v>748</v>
      </c>
      <c r="C484" s="1" t="s">
        <v>761</v>
      </c>
      <c r="D484" s="1">
        <v>8.5</v>
      </c>
      <c r="E484" s="1" t="s">
        <v>616</v>
      </c>
      <c r="F484" s="1">
        <v>0.015</v>
      </c>
      <c r="G484" s="1">
        <v>0.12</v>
      </c>
      <c r="H484" s="2">
        <v>2.0E-5</v>
      </c>
      <c r="I484" s="1">
        <v>132.0</v>
      </c>
    </row>
    <row r="485">
      <c r="A485" s="1" t="s">
        <v>763</v>
      </c>
      <c r="B485" s="1" t="s">
        <v>615</v>
      </c>
      <c r="C485" s="1" t="s">
        <v>764</v>
      </c>
      <c r="D485" s="1">
        <v>4.5</v>
      </c>
      <c r="E485" s="1" t="s">
        <v>581</v>
      </c>
      <c r="F485" s="1">
        <v>0.015</v>
      </c>
      <c r="G485" s="1">
        <v>0.12</v>
      </c>
      <c r="H485" s="2">
        <v>2.0E-5</v>
      </c>
      <c r="I485" s="1">
        <v>132.0</v>
      </c>
    </row>
    <row r="486">
      <c r="A486" s="1" t="s">
        <v>765</v>
      </c>
      <c r="B486" s="1" t="s">
        <v>615</v>
      </c>
      <c r="C486" s="1" t="s">
        <v>764</v>
      </c>
      <c r="D486" s="1">
        <v>4.5</v>
      </c>
      <c r="E486" s="1" t="s">
        <v>581</v>
      </c>
      <c r="F486" s="1">
        <v>0.015</v>
      </c>
      <c r="G486" s="1">
        <v>0.12</v>
      </c>
      <c r="H486" s="2">
        <v>2.0E-5</v>
      </c>
      <c r="I486" s="1">
        <v>132.0</v>
      </c>
    </row>
    <row r="487">
      <c r="A487" s="1" t="s">
        <v>766</v>
      </c>
      <c r="B487" s="1" t="s">
        <v>356</v>
      </c>
      <c r="C487" s="1" t="s">
        <v>49</v>
      </c>
      <c r="D487" s="1">
        <v>19.0</v>
      </c>
      <c r="E487" s="1" t="s">
        <v>308</v>
      </c>
      <c r="F487" s="1">
        <v>0.1101</v>
      </c>
      <c r="G487" s="1">
        <v>0.2559</v>
      </c>
      <c r="H487" s="2">
        <v>6.5703E-6</v>
      </c>
      <c r="I487" s="1">
        <v>132.0</v>
      </c>
    </row>
    <row r="488">
      <c r="A488" s="1" t="s">
        <v>767</v>
      </c>
      <c r="B488" s="1" t="s">
        <v>356</v>
      </c>
      <c r="C488" s="1" t="s">
        <v>49</v>
      </c>
      <c r="D488" s="1">
        <v>19.0</v>
      </c>
      <c r="E488" s="1" t="s">
        <v>308</v>
      </c>
      <c r="F488" s="1">
        <v>0.1101</v>
      </c>
      <c r="G488" s="1">
        <v>0.2559</v>
      </c>
      <c r="H488" s="2">
        <v>6.5703E-6</v>
      </c>
      <c r="I488" s="1">
        <v>132.0</v>
      </c>
    </row>
    <row r="489">
      <c r="A489" s="1" t="s">
        <v>768</v>
      </c>
      <c r="B489" s="1" t="s">
        <v>356</v>
      </c>
      <c r="C489" s="1" t="s">
        <v>49</v>
      </c>
      <c r="D489" s="1">
        <v>19.0</v>
      </c>
      <c r="E489" s="1" t="s">
        <v>308</v>
      </c>
      <c r="F489" s="1">
        <v>0.1101</v>
      </c>
      <c r="G489" s="1">
        <v>0.2559</v>
      </c>
      <c r="H489" s="2">
        <v>6.5703E-6</v>
      </c>
      <c r="I489" s="1">
        <v>132.0</v>
      </c>
    </row>
    <row r="490">
      <c r="A490" s="1" t="s">
        <v>769</v>
      </c>
      <c r="B490" s="1" t="s">
        <v>441</v>
      </c>
      <c r="C490" s="1" t="s">
        <v>507</v>
      </c>
      <c r="D490" s="1">
        <v>45.0</v>
      </c>
      <c r="E490" s="1" t="s">
        <v>308</v>
      </c>
      <c r="F490" s="1">
        <v>0.1101</v>
      </c>
      <c r="G490" s="1">
        <v>0.2559</v>
      </c>
      <c r="H490" s="2">
        <v>6.5703E-6</v>
      </c>
      <c r="I490" s="1">
        <v>132.0</v>
      </c>
    </row>
    <row r="491">
      <c r="A491" s="1" t="s">
        <v>770</v>
      </c>
      <c r="B491" s="1" t="s">
        <v>441</v>
      </c>
      <c r="C491" s="1" t="s">
        <v>771</v>
      </c>
      <c r="D491" s="1">
        <f t="shared" ref="D491:D492" si="7">22.5</f>
        <v>22.5</v>
      </c>
      <c r="E491" s="1" t="s">
        <v>308</v>
      </c>
      <c r="F491" s="1">
        <v>0.1101</v>
      </c>
      <c r="G491" s="1">
        <v>0.2559</v>
      </c>
      <c r="H491" s="2">
        <v>6.5703E-6</v>
      </c>
      <c r="I491" s="1">
        <v>132.0</v>
      </c>
    </row>
    <row r="492">
      <c r="A492" s="1" t="s">
        <v>772</v>
      </c>
      <c r="B492" s="1" t="s">
        <v>771</v>
      </c>
      <c r="C492" s="1" t="s">
        <v>507</v>
      </c>
      <c r="D492" s="1">
        <f t="shared" si="7"/>
        <v>22.5</v>
      </c>
      <c r="E492" s="1" t="s">
        <v>308</v>
      </c>
      <c r="F492" s="1"/>
      <c r="G492" s="1"/>
      <c r="H492" s="2"/>
      <c r="I492" s="1"/>
    </row>
    <row r="493">
      <c r="A493" s="1" t="s">
        <v>773</v>
      </c>
      <c r="B493" s="1" t="s">
        <v>552</v>
      </c>
      <c r="C493" s="1" t="s">
        <v>774</v>
      </c>
      <c r="D493" s="3">
        <v>12.0</v>
      </c>
      <c r="E493" s="1" t="s">
        <v>308</v>
      </c>
      <c r="F493" s="1">
        <v>0.1101</v>
      </c>
      <c r="G493" s="1">
        <v>0.2559</v>
      </c>
      <c r="H493" s="2">
        <v>6.5703E-6</v>
      </c>
      <c r="I493" s="1">
        <v>132.0</v>
      </c>
    </row>
    <row r="494">
      <c r="A494" s="1" t="s">
        <v>775</v>
      </c>
      <c r="B494" s="1" t="s">
        <v>552</v>
      </c>
      <c r="C494" s="1" t="s">
        <v>774</v>
      </c>
      <c r="D494" s="3">
        <v>12.0</v>
      </c>
      <c r="E494" s="1" t="s">
        <v>308</v>
      </c>
      <c r="F494" s="1">
        <v>0.1101</v>
      </c>
      <c r="G494" s="1">
        <v>0.2559</v>
      </c>
      <c r="H494" s="2">
        <v>6.5703E-6</v>
      </c>
      <c r="I494" s="1">
        <v>132.0</v>
      </c>
    </row>
    <row r="495">
      <c r="A495" s="1" t="s">
        <v>776</v>
      </c>
      <c r="B495" s="1" t="s">
        <v>176</v>
      </c>
      <c r="C495" s="1" t="s">
        <v>777</v>
      </c>
      <c r="D495" s="3">
        <v>13.0</v>
      </c>
      <c r="E495" s="1" t="s">
        <v>308</v>
      </c>
      <c r="F495" s="1">
        <v>0.1101</v>
      </c>
      <c r="G495" s="1">
        <v>0.2559</v>
      </c>
      <c r="H495" s="2">
        <v>6.5703E-6</v>
      </c>
      <c r="I495" s="1">
        <v>132.0</v>
      </c>
    </row>
    <row r="496">
      <c r="A496" s="1" t="s">
        <v>778</v>
      </c>
      <c r="B496" s="1" t="s">
        <v>176</v>
      </c>
      <c r="C496" s="1" t="s">
        <v>777</v>
      </c>
      <c r="D496" s="3">
        <v>13.0</v>
      </c>
      <c r="E496" s="1" t="s">
        <v>308</v>
      </c>
      <c r="F496" s="1">
        <v>0.1101</v>
      </c>
      <c r="G496" s="1">
        <v>0.2559</v>
      </c>
      <c r="H496" s="2">
        <v>6.5703E-6</v>
      </c>
      <c r="I496" s="1">
        <v>132.0</v>
      </c>
    </row>
    <row r="497">
      <c r="A497" s="1" t="s">
        <v>779</v>
      </c>
      <c r="B497" s="1" t="s">
        <v>777</v>
      </c>
      <c r="C497" s="1" t="s">
        <v>553</v>
      </c>
      <c r="D497" s="1">
        <v>93.5</v>
      </c>
      <c r="E497" s="1" t="s">
        <v>308</v>
      </c>
      <c r="F497" s="1">
        <v>0.1101</v>
      </c>
      <c r="G497" s="1">
        <v>0.2559</v>
      </c>
      <c r="H497" s="2">
        <v>6.5703E-6</v>
      </c>
      <c r="I497" s="1">
        <v>132.0</v>
      </c>
    </row>
    <row r="498">
      <c r="A498" s="1" t="s">
        <v>780</v>
      </c>
      <c r="B498" s="1" t="s">
        <v>777</v>
      </c>
      <c r="C498" s="1" t="s">
        <v>553</v>
      </c>
      <c r="D498" s="1">
        <v>93.5</v>
      </c>
      <c r="E498" s="1" t="s">
        <v>308</v>
      </c>
      <c r="F498" s="1">
        <v>0.1101</v>
      </c>
      <c r="G498" s="1">
        <v>0.2559</v>
      </c>
      <c r="H498" s="2">
        <v>6.5703E-6</v>
      </c>
      <c r="I498" s="1">
        <v>132.0</v>
      </c>
    </row>
    <row r="499">
      <c r="A499" s="1" t="s">
        <v>781</v>
      </c>
      <c r="B499" s="1" t="s">
        <v>553</v>
      </c>
      <c r="C499" s="1" t="s">
        <v>782</v>
      </c>
      <c r="D499" s="3">
        <v>33.0</v>
      </c>
      <c r="E499" s="1" t="s">
        <v>308</v>
      </c>
      <c r="F499" s="1">
        <v>0.1101</v>
      </c>
      <c r="G499" s="1">
        <v>0.2559</v>
      </c>
      <c r="H499" s="2">
        <v>6.5703E-6</v>
      </c>
      <c r="I499" s="1">
        <v>132.0</v>
      </c>
    </row>
    <row r="500">
      <c r="A500" s="1" t="s">
        <v>783</v>
      </c>
      <c r="B500" s="1" t="s">
        <v>553</v>
      </c>
      <c r="C500" s="1" t="s">
        <v>782</v>
      </c>
      <c r="D500" s="3">
        <v>33.0</v>
      </c>
      <c r="E500" s="1" t="s">
        <v>308</v>
      </c>
      <c r="F500" s="1">
        <v>0.1101</v>
      </c>
      <c r="G500" s="1">
        <v>0.2559</v>
      </c>
      <c r="H500" s="2">
        <v>6.5703E-6</v>
      </c>
      <c r="I500" s="1">
        <v>132.0</v>
      </c>
    </row>
    <row r="501">
      <c r="A501" s="1" t="s">
        <v>784</v>
      </c>
      <c r="B501" s="1" t="s">
        <v>782</v>
      </c>
      <c r="C501" s="1" t="s">
        <v>785</v>
      </c>
      <c r="D501" s="3">
        <v>42.0</v>
      </c>
      <c r="E501" s="1" t="s">
        <v>308</v>
      </c>
      <c r="F501" s="1">
        <v>0.1101</v>
      </c>
      <c r="G501" s="1">
        <v>0.2559</v>
      </c>
      <c r="H501" s="2">
        <v>6.5703E-6</v>
      </c>
      <c r="I501" s="1">
        <v>132.0</v>
      </c>
    </row>
    <row r="502">
      <c r="A502" s="1" t="s">
        <v>786</v>
      </c>
      <c r="B502" s="1" t="s">
        <v>782</v>
      </c>
      <c r="C502" s="1" t="s">
        <v>785</v>
      </c>
      <c r="D502" s="3">
        <v>42.0</v>
      </c>
      <c r="E502" s="1" t="s">
        <v>308</v>
      </c>
      <c r="F502" s="1">
        <v>0.1101</v>
      </c>
      <c r="G502" s="1">
        <v>0.2559</v>
      </c>
      <c r="H502" s="2">
        <v>6.5703E-6</v>
      </c>
      <c r="I502" s="1">
        <v>132.0</v>
      </c>
    </row>
    <row r="503">
      <c r="A503" s="1" t="s">
        <v>787</v>
      </c>
      <c r="B503" s="1" t="s">
        <v>785</v>
      </c>
      <c r="C503" s="1" t="s">
        <v>788</v>
      </c>
      <c r="D503" s="3">
        <v>12.0</v>
      </c>
      <c r="E503" s="1" t="s">
        <v>308</v>
      </c>
      <c r="F503" s="1">
        <v>0.1101</v>
      </c>
      <c r="G503" s="1">
        <v>0.2559</v>
      </c>
      <c r="H503" s="2">
        <v>6.5703E-6</v>
      </c>
      <c r="I503" s="1">
        <v>132.0</v>
      </c>
    </row>
    <row r="504">
      <c r="A504" s="1" t="s">
        <v>789</v>
      </c>
      <c r="B504" s="1" t="s">
        <v>785</v>
      </c>
      <c r="C504" s="1" t="s">
        <v>788</v>
      </c>
      <c r="D504" s="3">
        <v>12.0</v>
      </c>
      <c r="E504" s="1" t="s">
        <v>308</v>
      </c>
      <c r="F504" s="1">
        <v>0.1101</v>
      </c>
      <c r="G504" s="1">
        <v>0.2559</v>
      </c>
      <c r="H504" s="2">
        <v>6.5703E-6</v>
      </c>
      <c r="I504" s="1">
        <v>132.0</v>
      </c>
    </row>
    <row r="505">
      <c r="A505" s="1" t="s">
        <v>790</v>
      </c>
      <c r="B505" s="1" t="s">
        <v>788</v>
      </c>
      <c r="C505" s="1" t="s">
        <v>384</v>
      </c>
      <c r="D505" s="3">
        <v>4.0</v>
      </c>
      <c r="E505" s="1" t="s">
        <v>308</v>
      </c>
      <c r="F505" s="1"/>
      <c r="G505" s="1"/>
      <c r="H505" s="2"/>
      <c r="I505" s="1"/>
    </row>
    <row r="506">
      <c r="A506" s="1" t="s">
        <v>791</v>
      </c>
      <c r="B506" s="1" t="s">
        <v>788</v>
      </c>
      <c r="C506" s="1" t="s">
        <v>384</v>
      </c>
      <c r="D506" s="3">
        <v>4.0</v>
      </c>
      <c r="E506" s="1" t="s">
        <v>308</v>
      </c>
      <c r="F506" s="1"/>
      <c r="G506" s="1"/>
      <c r="H506" s="2"/>
      <c r="I506" s="1"/>
    </row>
    <row r="507">
      <c r="A507" s="1" t="s">
        <v>743</v>
      </c>
      <c r="B507" s="1" t="s">
        <v>742</v>
      </c>
      <c r="C507" s="1" t="s">
        <v>740</v>
      </c>
      <c r="D507" s="1">
        <v>13.0</v>
      </c>
      <c r="E507" s="1" t="s">
        <v>308</v>
      </c>
      <c r="F507" s="1">
        <v>0.1101</v>
      </c>
      <c r="G507" s="1">
        <v>0.2559</v>
      </c>
      <c r="H507" s="2">
        <v>6.5703E-6</v>
      </c>
      <c r="I507" s="1">
        <v>132.0</v>
      </c>
    </row>
    <row r="508">
      <c r="A508" s="1" t="s">
        <v>792</v>
      </c>
      <c r="B508" s="1" t="s">
        <v>774</v>
      </c>
      <c r="C508" s="1" t="s">
        <v>793</v>
      </c>
      <c r="D508" s="1">
        <v>22.5</v>
      </c>
      <c r="E508" s="1" t="s">
        <v>308</v>
      </c>
      <c r="F508" s="1">
        <v>0.1101</v>
      </c>
      <c r="G508" s="1">
        <v>0.2559</v>
      </c>
      <c r="H508" s="2">
        <v>6.5703E-6</v>
      </c>
      <c r="I508" s="1">
        <v>132.0</v>
      </c>
    </row>
    <row r="509">
      <c r="A509" s="1" t="s">
        <v>794</v>
      </c>
      <c r="B509" s="1" t="s">
        <v>774</v>
      </c>
      <c r="C509" s="1" t="s">
        <v>793</v>
      </c>
      <c r="D509" s="1">
        <v>22.5</v>
      </c>
      <c r="E509" s="1" t="s">
        <v>308</v>
      </c>
      <c r="F509" s="1">
        <v>0.1101</v>
      </c>
      <c r="G509" s="1">
        <v>0.2559</v>
      </c>
      <c r="H509" s="2">
        <v>6.5703E-6</v>
      </c>
      <c r="I509" s="1">
        <v>132.0</v>
      </c>
    </row>
    <row r="510">
      <c r="A510" s="1" t="s">
        <v>795</v>
      </c>
      <c r="B510" s="1" t="s">
        <v>796</v>
      </c>
      <c r="C510" s="1" t="s">
        <v>797</v>
      </c>
      <c r="D510" s="1">
        <v>52.5</v>
      </c>
      <c r="E510" s="1" t="s">
        <v>308</v>
      </c>
      <c r="F510" s="1">
        <v>0.1101</v>
      </c>
      <c r="G510" s="1">
        <v>0.2559</v>
      </c>
      <c r="H510" s="2">
        <v>6.5703E-6</v>
      </c>
      <c r="I510" s="1">
        <v>132.0</v>
      </c>
    </row>
    <row r="511">
      <c r="A511" s="1" t="s">
        <v>798</v>
      </c>
      <c r="B511" s="1" t="s">
        <v>796</v>
      </c>
      <c r="C511" s="1" t="s">
        <v>797</v>
      </c>
      <c r="D511" s="1">
        <v>52.5</v>
      </c>
      <c r="E511" s="1" t="s">
        <v>308</v>
      </c>
      <c r="F511" s="1">
        <v>0.1101</v>
      </c>
      <c r="G511" s="1">
        <v>0.2559</v>
      </c>
      <c r="H511" s="2">
        <v>6.5703E-6</v>
      </c>
      <c r="I511" s="1">
        <v>132.0</v>
      </c>
    </row>
    <row r="512">
      <c r="A512" s="1" t="s">
        <v>799</v>
      </c>
      <c r="B512" s="1" t="s">
        <v>418</v>
      </c>
      <c r="C512" s="1" t="s">
        <v>796</v>
      </c>
      <c r="D512" s="1">
        <v>27.5</v>
      </c>
      <c r="E512" s="1" t="s">
        <v>308</v>
      </c>
      <c r="F512" s="1">
        <v>0.1101</v>
      </c>
      <c r="G512" s="1">
        <v>0.2559</v>
      </c>
      <c r="H512" s="2">
        <v>6.5703E-6</v>
      </c>
      <c r="I512" s="1">
        <v>132.0</v>
      </c>
    </row>
    <row r="513">
      <c r="A513" s="1" t="s">
        <v>800</v>
      </c>
      <c r="B513" s="1" t="s">
        <v>418</v>
      </c>
      <c r="C513" s="1" t="s">
        <v>796</v>
      </c>
      <c r="D513" s="1">
        <v>27.5</v>
      </c>
      <c r="E513" s="1" t="s">
        <v>308</v>
      </c>
      <c r="F513" s="1">
        <v>0.1101</v>
      </c>
      <c r="G513" s="1">
        <v>0.2559</v>
      </c>
      <c r="H513" s="2">
        <v>6.5703E-6</v>
      </c>
      <c r="I513" s="1">
        <v>132.0</v>
      </c>
    </row>
    <row r="514">
      <c r="A514" s="1" t="s">
        <v>801</v>
      </c>
      <c r="B514" s="1" t="s">
        <v>345</v>
      </c>
      <c r="C514" s="1" t="s">
        <v>802</v>
      </c>
      <c r="D514" s="1">
        <v>32.0</v>
      </c>
      <c r="E514" s="1" t="s">
        <v>308</v>
      </c>
      <c r="F514" s="1">
        <v>0.1101</v>
      </c>
      <c r="G514" s="1">
        <v>0.2559</v>
      </c>
      <c r="H514" s="2">
        <v>6.5703E-6</v>
      </c>
      <c r="I514" s="1">
        <v>132.0</v>
      </c>
    </row>
    <row r="515">
      <c r="A515" s="1" t="s">
        <v>803</v>
      </c>
      <c r="B515" s="1" t="s">
        <v>345</v>
      </c>
      <c r="C515" s="1" t="s">
        <v>802</v>
      </c>
      <c r="D515" s="1">
        <v>32.0</v>
      </c>
      <c r="E515" s="1" t="s">
        <v>308</v>
      </c>
      <c r="F515" s="1">
        <v>0.1101</v>
      </c>
      <c r="G515" s="1">
        <v>0.2559</v>
      </c>
      <c r="H515" s="2">
        <v>6.5703E-6</v>
      </c>
      <c r="I515" s="1">
        <v>132.0</v>
      </c>
    </row>
    <row r="516">
      <c r="A516" s="1" t="s">
        <v>804</v>
      </c>
      <c r="B516" s="1" t="s">
        <v>805</v>
      </c>
      <c r="C516" s="1" t="s">
        <v>339</v>
      </c>
      <c r="D516" s="1">
        <v>30.0</v>
      </c>
      <c r="E516" s="1" t="s">
        <v>308</v>
      </c>
      <c r="F516" s="1">
        <v>0.1101</v>
      </c>
      <c r="G516" s="1">
        <v>0.2559</v>
      </c>
      <c r="H516" s="2">
        <v>6.5703E-6</v>
      </c>
      <c r="I516" s="1">
        <v>132.0</v>
      </c>
    </row>
    <row r="517">
      <c r="A517" s="1" t="s">
        <v>806</v>
      </c>
      <c r="B517" s="1" t="s">
        <v>805</v>
      </c>
      <c r="C517" s="1" t="s">
        <v>339</v>
      </c>
      <c r="D517" s="1">
        <v>30.0</v>
      </c>
      <c r="E517" s="1" t="s">
        <v>308</v>
      </c>
      <c r="F517" s="1">
        <v>0.1101</v>
      </c>
      <c r="G517" s="1">
        <v>0.2559</v>
      </c>
      <c r="H517" s="2">
        <v>6.5703E-6</v>
      </c>
      <c r="I517" s="1">
        <v>132.0</v>
      </c>
    </row>
    <row r="518">
      <c r="A518" s="1" t="s">
        <v>807</v>
      </c>
      <c r="B518" s="1" t="s">
        <v>557</v>
      </c>
      <c r="C518" s="1" t="s">
        <v>808</v>
      </c>
      <c r="D518" s="3">
        <v>5.0</v>
      </c>
      <c r="E518" s="1" t="s">
        <v>308</v>
      </c>
      <c r="F518" s="1"/>
      <c r="G518" s="1"/>
      <c r="H518" s="2"/>
      <c r="I518" s="1"/>
    </row>
    <row r="519">
      <c r="A519" s="1" t="s">
        <v>809</v>
      </c>
      <c r="B519" s="1" t="s">
        <v>810</v>
      </c>
      <c r="C519" s="1" t="s">
        <v>556</v>
      </c>
      <c r="D519" s="1">
        <v>2.0</v>
      </c>
      <c r="E519" s="1" t="s">
        <v>308</v>
      </c>
      <c r="F519" s="1">
        <v>0.015</v>
      </c>
      <c r="G519" s="1">
        <v>0.12</v>
      </c>
      <c r="H519" s="2">
        <v>2.0E-5</v>
      </c>
      <c r="I519" s="1">
        <v>132.0</v>
      </c>
    </row>
    <row r="520">
      <c r="A520" s="1" t="s">
        <v>811</v>
      </c>
      <c r="B520" s="1" t="s">
        <v>812</v>
      </c>
      <c r="C520" s="1" t="s">
        <v>813</v>
      </c>
      <c r="D520" s="1">
        <v>18.0</v>
      </c>
      <c r="E520" s="1" t="s">
        <v>308</v>
      </c>
      <c r="F520" s="1">
        <v>0.1101</v>
      </c>
      <c r="G520" s="1">
        <v>0.2559</v>
      </c>
      <c r="H520" s="2">
        <v>6.5703E-6</v>
      </c>
      <c r="I520" s="1">
        <v>132.0</v>
      </c>
    </row>
    <row r="521">
      <c r="A521" s="1" t="s">
        <v>814</v>
      </c>
      <c r="B521" s="1" t="s">
        <v>355</v>
      </c>
      <c r="C521" s="1" t="s">
        <v>352</v>
      </c>
      <c r="D521" s="1">
        <v>28.5</v>
      </c>
      <c r="E521" s="1" t="s">
        <v>308</v>
      </c>
      <c r="F521" s="1">
        <v>0.08808</v>
      </c>
      <c r="G521" s="1">
        <v>0.2559</v>
      </c>
      <c r="H521" s="2">
        <v>6.5703E-6</v>
      </c>
      <c r="I521" s="1">
        <v>132.0</v>
      </c>
    </row>
    <row r="522">
      <c r="A522" s="1" t="s">
        <v>815</v>
      </c>
      <c r="B522" s="1" t="s">
        <v>355</v>
      </c>
      <c r="C522" s="1" t="s">
        <v>816</v>
      </c>
      <c r="D522" s="3">
        <v>17.0</v>
      </c>
      <c r="E522" s="1" t="s">
        <v>308</v>
      </c>
      <c r="F522" s="1">
        <v>0.08808</v>
      </c>
      <c r="G522" s="1">
        <v>0.2559</v>
      </c>
      <c r="H522" s="2">
        <v>6.5703E-6</v>
      </c>
      <c r="I522" s="1">
        <v>132.0</v>
      </c>
    </row>
    <row r="523">
      <c r="A523" s="1" t="s">
        <v>817</v>
      </c>
      <c r="B523" s="1" t="s">
        <v>816</v>
      </c>
      <c r="C523" s="1" t="s">
        <v>352</v>
      </c>
      <c r="D523" s="3">
        <v>11.5</v>
      </c>
      <c r="E523" s="1" t="s">
        <v>308</v>
      </c>
      <c r="F523" s="1"/>
      <c r="G523" s="1"/>
      <c r="H523" s="2"/>
      <c r="I523" s="1"/>
    </row>
    <row r="524">
      <c r="A524" s="1" t="s">
        <v>818</v>
      </c>
      <c r="B524" s="1" t="s">
        <v>307</v>
      </c>
      <c r="C524" s="1" t="s">
        <v>317</v>
      </c>
      <c r="D524" s="1">
        <v>55.0</v>
      </c>
      <c r="E524" s="1" t="s">
        <v>308</v>
      </c>
      <c r="F524" s="1">
        <v>0.1101</v>
      </c>
      <c r="G524" s="1">
        <v>0.2559</v>
      </c>
      <c r="H524" s="2">
        <v>6.5703E-6</v>
      </c>
      <c r="I524" s="1">
        <v>132.0</v>
      </c>
    </row>
    <row r="525">
      <c r="A525" s="1" t="s">
        <v>819</v>
      </c>
      <c r="B525" s="1" t="s">
        <v>307</v>
      </c>
      <c r="C525" s="1" t="s">
        <v>317</v>
      </c>
      <c r="D525" s="1">
        <v>55.0</v>
      </c>
      <c r="E525" s="1" t="s">
        <v>308</v>
      </c>
      <c r="F525" s="1">
        <v>0.1101</v>
      </c>
      <c r="G525" s="1">
        <v>0.2559</v>
      </c>
      <c r="H525" s="2">
        <v>6.5703E-6</v>
      </c>
      <c r="I525" s="1">
        <v>132.0</v>
      </c>
    </row>
    <row r="526">
      <c r="A526" s="1" t="s">
        <v>820</v>
      </c>
      <c r="B526" s="1" t="s">
        <v>491</v>
      </c>
      <c r="C526" s="1" t="s">
        <v>821</v>
      </c>
      <c r="D526" s="1">
        <v>30.0</v>
      </c>
      <c r="E526" s="1" t="s">
        <v>308</v>
      </c>
      <c r="F526" s="1">
        <v>0.1101</v>
      </c>
      <c r="G526" s="1">
        <v>0.2559</v>
      </c>
      <c r="H526" s="2">
        <v>6.5703E-6</v>
      </c>
      <c r="I526" s="1">
        <v>132.0</v>
      </c>
    </row>
    <row r="527">
      <c r="A527" s="1" t="s">
        <v>822</v>
      </c>
      <c r="B527" s="1" t="s">
        <v>491</v>
      </c>
      <c r="C527" s="1" t="s">
        <v>821</v>
      </c>
      <c r="D527" s="1">
        <v>30.0</v>
      </c>
      <c r="E527" s="1" t="s">
        <v>308</v>
      </c>
      <c r="F527" s="1">
        <v>0.1101</v>
      </c>
      <c r="G527" s="1">
        <v>0.2559</v>
      </c>
      <c r="H527" s="2">
        <v>6.5703E-6</v>
      </c>
      <c r="I527" s="1">
        <v>132.0</v>
      </c>
    </row>
    <row r="528">
      <c r="A528" s="1" t="s">
        <v>823</v>
      </c>
      <c r="B528" s="1" t="s">
        <v>824</v>
      </c>
      <c r="C528" s="1" t="s">
        <v>464</v>
      </c>
      <c r="D528" s="1">
        <v>7.0</v>
      </c>
      <c r="E528" s="1" t="s">
        <v>308</v>
      </c>
      <c r="F528" s="1">
        <v>0.1101</v>
      </c>
      <c r="G528" s="1">
        <v>0.2559</v>
      </c>
      <c r="H528" s="2">
        <v>6.5703E-6</v>
      </c>
      <c r="I528" s="1">
        <v>132.0</v>
      </c>
    </row>
    <row r="529">
      <c r="A529" s="1" t="s">
        <v>825</v>
      </c>
      <c r="B529" s="1" t="s">
        <v>824</v>
      </c>
      <c r="C529" s="1" t="s">
        <v>464</v>
      </c>
      <c r="D529" s="1">
        <v>7.0</v>
      </c>
      <c r="E529" s="1" t="s">
        <v>308</v>
      </c>
      <c r="F529" s="1">
        <v>0.1101</v>
      </c>
      <c r="G529" s="1">
        <v>0.2559</v>
      </c>
      <c r="H529" s="2">
        <v>6.5703E-6</v>
      </c>
      <c r="I529" s="1">
        <v>132.0</v>
      </c>
    </row>
    <row r="530">
      <c r="A530" s="1" t="s">
        <v>826</v>
      </c>
      <c r="B530" s="1" t="s">
        <v>384</v>
      </c>
      <c r="C530" s="1" t="s">
        <v>827</v>
      </c>
      <c r="D530" s="1">
        <v>43.0</v>
      </c>
      <c r="E530" s="1" t="s">
        <v>308</v>
      </c>
      <c r="F530" s="1">
        <v>0.1101</v>
      </c>
      <c r="G530" s="1">
        <v>0.2559</v>
      </c>
      <c r="H530" s="2">
        <v>6.5703E-6</v>
      </c>
      <c r="I530" s="1">
        <v>132.0</v>
      </c>
    </row>
    <row r="531">
      <c r="A531" s="1" t="s">
        <v>828</v>
      </c>
      <c r="B531" s="1" t="s">
        <v>384</v>
      </c>
      <c r="C531" s="1" t="s">
        <v>827</v>
      </c>
      <c r="D531" s="1">
        <v>43.0</v>
      </c>
      <c r="E531" s="1" t="s">
        <v>308</v>
      </c>
      <c r="F531" s="1">
        <v>0.1101</v>
      </c>
      <c r="G531" s="1">
        <v>0.2559</v>
      </c>
      <c r="H531" s="2">
        <v>6.5703E-6</v>
      </c>
      <c r="I531" s="1">
        <v>132.0</v>
      </c>
    </row>
    <row r="532">
      <c r="A532" s="1" t="s">
        <v>829</v>
      </c>
      <c r="B532" s="1" t="s">
        <v>830</v>
      </c>
      <c r="C532" s="1" t="s">
        <v>651</v>
      </c>
      <c r="D532" s="1">
        <v>15.0</v>
      </c>
      <c r="E532" s="1" t="s">
        <v>308</v>
      </c>
      <c r="F532" s="1">
        <v>0.1101</v>
      </c>
      <c r="G532" s="1">
        <v>0.2559</v>
      </c>
      <c r="H532" s="2">
        <v>6.5703E-6</v>
      </c>
      <c r="I532" s="1">
        <v>132.0</v>
      </c>
    </row>
    <row r="533">
      <c r="A533" s="1" t="s">
        <v>831</v>
      </c>
      <c r="B533" s="1" t="s">
        <v>448</v>
      </c>
      <c r="C533" s="1" t="s">
        <v>832</v>
      </c>
      <c r="D533" s="1">
        <v>30.5</v>
      </c>
      <c r="E533" s="1" t="s">
        <v>308</v>
      </c>
      <c r="F533" s="1">
        <v>0.1101</v>
      </c>
      <c r="G533" s="1">
        <v>0.2559</v>
      </c>
      <c r="H533" s="2">
        <v>6.5703E-6</v>
      </c>
      <c r="I533" s="1">
        <v>132.0</v>
      </c>
    </row>
    <row r="534">
      <c r="A534" s="1" t="s">
        <v>833</v>
      </c>
      <c r="B534" s="1" t="s">
        <v>448</v>
      </c>
      <c r="C534" s="1" t="s">
        <v>832</v>
      </c>
      <c r="D534" s="1">
        <v>30.5</v>
      </c>
      <c r="E534" s="1" t="s">
        <v>308</v>
      </c>
      <c r="F534" s="1">
        <v>0.1101</v>
      </c>
      <c r="G534" s="1">
        <v>0.2559</v>
      </c>
      <c r="H534" s="2">
        <v>6.5703E-6</v>
      </c>
      <c r="I534" s="1">
        <v>132.0</v>
      </c>
    </row>
    <row r="535">
      <c r="A535" s="1" t="s">
        <v>834</v>
      </c>
      <c r="B535" s="1" t="s">
        <v>518</v>
      </c>
      <c r="C535" s="1" t="s">
        <v>835</v>
      </c>
      <c r="D535" s="1">
        <v>22.0</v>
      </c>
      <c r="E535" s="1" t="s">
        <v>308</v>
      </c>
      <c r="F535" s="1">
        <v>0.1101</v>
      </c>
      <c r="G535" s="1">
        <v>0.2559</v>
      </c>
      <c r="H535" s="2">
        <v>6.5703E-6</v>
      </c>
      <c r="I535" s="1">
        <v>132.0</v>
      </c>
    </row>
    <row r="536">
      <c r="A536" s="1" t="s">
        <v>836</v>
      </c>
      <c r="B536" s="1" t="s">
        <v>518</v>
      </c>
      <c r="C536" s="1" t="s">
        <v>835</v>
      </c>
      <c r="D536" s="1">
        <v>22.0</v>
      </c>
      <c r="E536" s="1" t="s">
        <v>308</v>
      </c>
      <c r="F536" s="1">
        <v>0.1101</v>
      </c>
      <c r="G536" s="1">
        <v>0.2559</v>
      </c>
      <c r="H536" s="2">
        <v>6.5703E-6</v>
      </c>
      <c r="I536" s="1">
        <v>132.0</v>
      </c>
    </row>
    <row r="537">
      <c r="A537" s="1" t="s">
        <v>837</v>
      </c>
      <c r="B537" s="1" t="s">
        <v>485</v>
      </c>
      <c r="C537" s="1" t="s">
        <v>838</v>
      </c>
      <c r="D537" s="1">
        <v>41.0</v>
      </c>
      <c r="E537" s="1" t="s">
        <v>308</v>
      </c>
      <c r="F537" s="1">
        <v>0.1101</v>
      </c>
      <c r="G537" s="1">
        <v>0.2559</v>
      </c>
      <c r="H537" s="2">
        <v>6.5703E-6</v>
      </c>
      <c r="I537" s="1">
        <v>132.0</v>
      </c>
    </row>
    <row r="538">
      <c r="A538" s="1" t="s">
        <v>839</v>
      </c>
      <c r="B538" s="1" t="s">
        <v>708</v>
      </c>
      <c r="C538" s="1" t="s">
        <v>840</v>
      </c>
      <c r="D538" s="1">
        <v>39.5</v>
      </c>
      <c r="E538" s="1" t="s">
        <v>308</v>
      </c>
      <c r="F538" s="1">
        <v>0.1101</v>
      </c>
      <c r="G538" s="1">
        <v>0.2559</v>
      </c>
      <c r="H538" s="2">
        <v>6.5703E-6</v>
      </c>
      <c r="I538" s="1">
        <v>132.0</v>
      </c>
    </row>
    <row r="539">
      <c r="A539" s="1" t="s">
        <v>841</v>
      </c>
      <c r="B539" s="1" t="s">
        <v>708</v>
      </c>
      <c r="C539" s="1" t="s">
        <v>840</v>
      </c>
      <c r="D539" s="1">
        <v>39.5</v>
      </c>
      <c r="E539" s="1" t="s">
        <v>308</v>
      </c>
      <c r="F539" s="1">
        <v>0.1101</v>
      </c>
      <c r="G539" s="1">
        <v>0.2559</v>
      </c>
      <c r="H539" s="2">
        <v>6.5703E-6</v>
      </c>
      <c r="I539" s="1">
        <v>132.0</v>
      </c>
    </row>
    <row r="540">
      <c r="A540" s="1" t="s">
        <v>842</v>
      </c>
      <c r="B540" s="1" t="s">
        <v>696</v>
      </c>
      <c r="C540" s="1" t="s">
        <v>843</v>
      </c>
      <c r="D540" s="3">
        <v>24.0</v>
      </c>
      <c r="E540" s="1" t="s">
        <v>308</v>
      </c>
      <c r="F540" s="1">
        <v>0.1101</v>
      </c>
      <c r="G540" s="1">
        <v>0.2559</v>
      </c>
      <c r="H540" s="2">
        <v>6.5703E-6</v>
      </c>
      <c r="I540" s="1">
        <v>132.0</v>
      </c>
    </row>
    <row r="541">
      <c r="A541" s="1" t="s">
        <v>844</v>
      </c>
      <c r="B541" s="1" t="s">
        <v>696</v>
      </c>
      <c r="C541" s="1" t="s">
        <v>843</v>
      </c>
      <c r="D541" s="3">
        <v>24.0</v>
      </c>
      <c r="E541" s="1" t="s">
        <v>308</v>
      </c>
      <c r="F541" s="1">
        <v>0.1101</v>
      </c>
      <c r="G541" s="1">
        <v>0.2559</v>
      </c>
      <c r="H541" s="2">
        <v>6.5703E-6</v>
      </c>
      <c r="I541" s="1">
        <v>132.0</v>
      </c>
    </row>
    <row r="542">
      <c r="A542" s="1" t="s">
        <v>845</v>
      </c>
      <c r="B542" s="1" t="s">
        <v>843</v>
      </c>
      <c r="C542" s="1" t="s">
        <v>539</v>
      </c>
      <c r="D542" s="3">
        <v>33.0</v>
      </c>
      <c r="E542" s="1" t="s">
        <v>308</v>
      </c>
      <c r="F542" s="1">
        <v>0.1101</v>
      </c>
      <c r="G542" s="1">
        <v>0.2559</v>
      </c>
      <c r="H542" s="2">
        <v>6.5703E-6</v>
      </c>
      <c r="I542" s="1">
        <v>132.0</v>
      </c>
    </row>
    <row r="543">
      <c r="A543" s="1" t="s">
        <v>846</v>
      </c>
      <c r="B543" s="1" t="s">
        <v>843</v>
      </c>
      <c r="C543" s="1" t="s">
        <v>539</v>
      </c>
      <c r="D543" s="3">
        <v>33.0</v>
      </c>
      <c r="E543" s="1" t="s">
        <v>308</v>
      </c>
      <c r="F543" s="1">
        <v>0.1101</v>
      </c>
      <c r="G543" s="1">
        <v>0.2559</v>
      </c>
      <c r="H543" s="2">
        <v>6.5703E-6</v>
      </c>
      <c r="I543" s="1">
        <v>132.0</v>
      </c>
    </row>
    <row r="544">
      <c r="A544" s="1" t="s">
        <v>847</v>
      </c>
      <c r="B544" s="1" t="s">
        <v>615</v>
      </c>
      <c r="C544" s="1" t="s">
        <v>848</v>
      </c>
      <c r="D544" s="1">
        <v>3.5</v>
      </c>
      <c r="E544" s="1" t="s">
        <v>616</v>
      </c>
      <c r="F544" s="1">
        <v>0.015</v>
      </c>
      <c r="G544" s="1">
        <v>0.12</v>
      </c>
      <c r="H544" s="2">
        <v>2.0E-5</v>
      </c>
      <c r="I544" s="1">
        <v>132.0</v>
      </c>
    </row>
    <row r="545">
      <c r="A545" s="1" t="s">
        <v>849</v>
      </c>
      <c r="B545" s="1" t="s">
        <v>615</v>
      </c>
      <c r="C545" s="1" t="s">
        <v>848</v>
      </c>
      <c r="D545" s="1">
        <v>3.5</v>
      </c>
      <c r="E545" s="1" t="s">
        <v>616</v>
      </c>
      <c r="F545" s="1">
        <v>0.015</v>
      </c>
      <c r="G545" s="1">
        <v>0.12</v>
      </c>
      <c r="H545" s="2">
        <v>2.0E-5</v>
      </c>
      <c r="I545" s="1">
        <v>132.0</v>
      </c>
    </row>
    <row r="546">
      <c r="A546" s="1" t="s">
        <v>850</v>
      </c>
      <c r="B546" s="1" t="s">
        <v>49</v>
      </c>
      <c r="C546" s="1" t="s">
        <v>851</v>
      </c>
      <c r="D546" s="3">
        <v>29.0</v>
      </c>
      <c r="E546" s="1" t="s">
        <v>308</v>
      </c>
      <c r="F546" s="1">
        <v>0.1101</v>
      </c>
      <c r="G546" s="1">
        <v>0.2559</v>
      </c>
      <c r="H546" s="2">
        <v>6.5703E-6</v>
      </c>
      <c r="I546" s="1">
        <v>132.0</v>
      </c>
    </row>
    <row r="547">
      <c r="A547" s="1" t="s">
        <v>852</v>
      </c>
      <c r="B547" s="1" t="s">
        <v>49</v>
      </c>
      <c r="C547" s="1" t="s">
        <v>851</v>
      </c>
      <c r="D547" s="3">
        <v>29.0</v>
      </c>
      <c r="E547" s="1" t="s">
        <v>308</v>
      </c>
      <c r="F547" s="1">
        <v>0.1101</v>
      </c>
      <c r="G547" s="1">
        <v>0.2559</v>
      </c>
      <c r="H547" s="2">
        <v>6.5703E-6</v>
      </c>
      <c r="I547" s="1">
        <v>132.0</v>
      </c>
    </row>
    <row r="548">
      <c r="A548" s="1" t="s">
        <v>853</v>
      </c>
      <c r="B548" s="1" t="s">
        <v>851</v>
      </c>
      <c r="C548" s="1" t="s">
        <v>854</v>
      </c>
      <c r="D548" s="1">
        <v>25.0</v>
      </c>
      <c r="E548" s="1" t="s">
        <v>308</v>
      </c>
      <c r="F548" s="1">
        <v>0.1101</v>
      </c>
      <c r="G548" s="1">
        <v>0.2559</v>
      </c>
      <c r="H548" s="2">
        <v>6.5703E-6</v>
      </c>
      <c r="I548" s="1">
        <v>132.0</v>
      </c>
    </row>
    <row r="549">
      <c r="A549" s="1" t="s">
        <v>855</v>
      </c>
      <c r="B549" s="1" t="s">
        <v>851</v>
      </c>
      <c r="C549" s="1" t="s">
        <v>854</v>
      </c>
      <c r="D549" s="1">
        <v>25.0</v>
      </c>
      <c r="E549" s="1" t="s">
        <v>308</v>
      </c>
      <c r="F549" s="1">
        <v>0.1101</v>
      </c>
      <c r="G549" s="1">
        <v>0.2559</v>
      </c>
      <c r="H549" s="2">
        <v>6.5703E-6</v>
      </c>
      <c r="I549" s="1">
        <v>132.0</v>
      </c>
    </row>
    <row r="550">
      <c r="A550" s="1" t="s">
        <v>856</v>
      </c>
      <c r="B550" s="1" t="s">
        <v>854</v>
      </c>
      <c r="C550" s="1" t="s">
        <v>355</v>
      </c>
      <c r="D550" s="1">
        <v>4.0</v>
      </c>
      <c r="E550" s="1" t="s">
        <v>308</v>
      </c>
      <c r="F550" s="1"/>
      <c r="G550" s="1"/>
      <c r="H550" s="2"/>
      <c r="I550" s="1"/>
    </row>
    <row r="551">
      <c r="A551" s="1" t="s">
        <v>857</v>
      </c>
      <c r="B551" s="1" t="s">
        <v>854</v>
      </c>
      <c r="C551" s="1" t="s">
        <v>355</v>
      </c>
      <c r="D551" s="1">
        <v>4.0</v>
      </c>
      <c r="E551" s="1" t="s">
        <v>308</v>
      </c>
      <c r="F551" s="1"/>
      <c r="G551" s="1"/>
      <c r="H551" s="2"/>
      <c r="I551" s="1"/>
    </row>
    <row r="552">
      <c r="A552" s="1" t="s">
        <v>858</v>
      </c>
      <c r="B552" s="1" t="s">
        <v>682</v>
      </c>
      <c r="C552" s="1" t="s">
        <v>859</v>
      </c>
      <c r="D552" s="1">
        <v>24.5</v>
      </c>
      <c r="E552" s="1" t="s">
        <v>308</v>
      </c>
      <c r="F552" s="1">
        <v>0.08808</v>
      </c>
      <c r="G552" s="1">
        <v>0.2559</v>
      </c>
      <c r="H552" s="2">
        <v>6.5703E-6</v>
      </c>
      <c r="I552" s="1">
        <v>132.0</v>
      </c>
    </row>
    <row r="553">
      <c r="A553" s="1" t="s">
        <v>860</v>
      </c>
      <c r="B553" s="1" t="s">
        <v>682</v>
      </c>
      <c r="C553" s="1" t="s">
        <v>859</v>
      </c>
      <c r="D553" s="1">
        <v>24.5</v>
      </c>
      <c r="E553" s="1" t="s">
        <v>308</v>
      </c>
      <c r="F553" s="1">
        <v>0.08808</v>
      </c>
      <c r="G553" s="1">
        <v>0.2559</v>
      </c>
      <c r="H553" s="2">
        <v>6.5703E-6</v>
      </c>
      <c r="I553" s="1">
        <v>132.0</v>
      </c>
    </row>
    <row r="554">
      <c r="A554" s="1" t="s">
        <v>861</v>
      </c>
      <c r="B554" s="1" t="s">
        <v>691</v>
      </c>
      <c r="C554" s="1" t="s">
        <v>862</v>
      </c>
      <c r="D554" s="1">
        <v>4.5</v>
      </c>
      <c r="E554" s="1" t="s">
        <v>616</v>
      </c>
      <c r="F554" s="1">
        <v>0.015</v>
      </c>
      <c r="G554" s="1">
        <v>0.12</v>
      </c>
      <c r="H554" s="2">
        <v>2.0E-5</v>
      </c>
      <c r="I554" s="1">
        <v>132.0</v>
      </c>
    </row>
    <row r="555">
      <c r="A555" s="1" t="s">
        <v>863</v>
      </c>
      <c r="B555" s="1" t="s">
        <v>691</v>
      </c>
      <c r="C555" s="1" t="s">
        <v>862</v>
      </c>
      <c r="D555" s="1">
        <v>4.5</v>
      </c>
      <c r="E555" s="1" t="s">
        <v>616</v>
      </c>
      <c r="F555" s="1">
        <v>0.015</v>
      </c>
      <c r="G555" s="1">
        <v>0.12</v>
      </c>
      <c r="H555" s="2">
        <v>2.0E-5</v>
      </c>
      <c r="I555" s="1">
        <v>132.0</v>
      </c>
    </row>
    <row r="556">
      <c r="A556" s="1" t="s">
        <v>864</v>
      </c>
      <c r="B556" s="1" t="s">
        <v>571</v>
      </c>
      <c r="C556" s="1" t="s">
        <v>865</v>
      </c>
      <c r="D556" s="1">
        <v>16.0</v>
      </c>
      <c r="E556" s="1" t="s">
        <v>308</v>
      </c>
      <c r="F556" s="1">
        <v>0.1101</v>
      </c>
      <c r="G556" s="1">
        <v>0.2559</v>
      </c>
      <c r="H556" s="2">
        <v>6.5703E-6</v>
      </c>
      <c r="I556" s="1">
        <v>132.0</v>
      </c>
    </row>
    <row r="557">
      <c r="A557" s="1" t="s">
        <v>866</v>
      </c>
      <c r="B557" s="1" t="s">
        <v>571</v>
      </c>
      <c r="C557" s="1" t="s">
        <v>865</v>
      </c>
      <c r="D557" s="1">
        <v>16.0</v>
      </c>
      <c r="E557" s="1" t="s">
        <v>308</v>
      </c>
      <c r="F557" s="1">
        <v>0.1101</v>
      </c>
      <c r="G557" s="1">
        <v>0.2559</v>
      </c>
      <c r="H557" s="2">
        <v>6.5703E-6</v>
      </c>
      <c r="I557" s="1">
        <v>132.0</v>
      </c>
    </row>
    <row r="558">
      <c r="A558" s="1" t="s">
        <v>867</v>
      </c>
      <c r="B558" s="1" t="s">
        <v>571</v>
      </c>
      <c r="C558" s="1" t="s">
        <v>868</v>
      </c>
      <c r="D558" s="1">
        <v>27.0</v>
      </c>
      <c r="E558" s="1" t="s">
        <v>308</v>
      </c>
      <c r="F558" s="1">
        <v>0.1101</v>
      </c>
      <c r="G558" s="1">
        <v>0.2559</v>
      </c>
      <c r="H558" s="2">
        <v>6.5703E-6</v>
      </c>
      <c r="I558" s="1">
        <v>132.0</v>
      </c>
    </row>
    <row r="559">
      <c r="A559" s="1" t="s">
        <v>869</v>
      </c>
      <c r="B559" s="1" t="s">
        <v>571</v>
      </c>
      <c r="C559" s="1" t="s">
        <v>868</v>
      </c>
      <c r="D559" s="1">
        <v>27.0</v>
      </c>
      <c r="E559" s="1" t="s">
        <v>308</v>
      </c>
      <c r="F559" s="1">
        <v>0.1101</v>
      </c>
      <c r="G559" s="1">
        <v>0.2559</v>
      </c>
      <c r="H559" s="2">
        <v>6.5703E-6</v>
      </c>
      <c r="I559" s="1">
        <v>132.0</v>
      </c>
    </row>
    <row r="560">
      <c r="A560" s="1" t="s">
        <v>589</v>
      </c>
      <c r="B560" s="1" t="s">
        <v>588</v>
      </c>
      <c r="C560" s="1" t="s">
        <v>590</v>
      </c>
      <c r="D560" s="1">
        <v>2.0</v>
      </c>
      <c r="E560" s="1" t="s">
        <v>308</v>
      </c>
      <c r="F560" s="1">
        <v>0.015</v>
      </c>
      <c r="G560" s="1">
        <v>0.12</v>
      </c>
      <c r="H560" s="2">
        <v>2.0E-5</v>
      </c>
      <c r="I560" s="1">
        <v>132.0</v>
      </c>
    </row>
    <row r="561">
      <c r="A561" s="1" t="s">
        <v>870</v>
      </c>
      <c r="B561" s="1" t="s">
        <v>588</v>
      </c>
      <c r="C561" s="1" t="s">
        <v>590</v>
      </c>
      <c r="D561" s="1">
        <v>2.0</v>
      </c>
      <c r="E561" s="1" t="s">
        <v>308</v>
      </c>
      <c r="F561" s="1">
        <v>0.015</v>
      </c>
      <c r="G561" s="1">
        <v>0.12</v>
      </c>
      <c r="H561" s="2">
        <v>2.0E-5</v>
      </c>
      <c r="I561" s="1">
        <v>132.0</v>
      </c>
    </row>
    <row r="562">
      <c r="A562" s="1" t="s">
        <v>871</v>
      </c>
      <c r="B562" s="1" t="s">
        <v>872</v>
      </c>
      <c r="C562" s="1" t="s">
        <v>607</v>
      </c>
      <c r="D562" s="1">
        <v>2.0</v>
      </c>
      <c r="E562" s="1" t="s">
        <v>581</v>
      </c>
      <c r="F562" s="1">
        <v>0.015</v>
      </c>
      <c r="G562" s="1">
        <v>0.12</v>
      </c>
      <c r="H562" s="2">
        <v>2.0E-5</v>
      </c>
      <c r="I562" s="1">
        <v>132.0</v>
      </c>
    </row>
    <row r="563">
      <c r="A563" s="1" t="s">
        <v>873</v>
      </c>
      <c r="B563" s="1" t="s">
        <v>872</v>
      </c>
      <c r="C563" s="1" t="s">
        <v>607</v>
      </c>
      <c r="D563" s="1">
        <v>2.0</v>
      </c>
      <c r="E563" s="1" t="s">
        <v>308</v>
      </c>
      <c r="F563" s="1">
        <v>0.015</v>
      </c>
      <c r="G563" s="1">
        <v>0.12</v>
      </c>
      <c r="H563" s="2">
        <v>2.0E-5</v>
      </c>
      <c r="I563" s="1">
        <v>132.0</v>
      </c>
    </row>
    <row r="564">
      <c r="A564" s="1" t="s">
        <v>508</v>
      </c>
      <c r="B564" s="1" t="s">
        <v>507</v>
      </c>
      <c r="C564" s="1" t="s">
        <v>509</v>
      </c>
      <c r="D564" s="1">
        <v>28.5</v>
      </c>
      <c r="E564" s="1" t="s">
        <v>308</v>
      </c>
      <c r="F564" s="1">
        <v>0.1101</v>
      </c>
      <c r="G564" s="1">
        <v>0.2559</v>
      </c>
      <c r="H564" s="2">
        <v>6.5703E-6</v>
      </c>
      <c r="I564" s="1">
        <v>132.0</v>
      </c>
    </row>
    <row r="565">
      <c r="A565" s="1" t="s">
        <v>874</v>
      </c>
      <c r="B565" s="1" t="s">
        <v>507</v>
      </c>
      <c r="C565" s="1" t="s">
        <v>509</v>
      </c>
      <c r="D565" s="1">
        <v>28.5</v>
      </c>
      <c r="E565" s="1" t="s">
        <v>308</v>
      </c>
      <c r="F565" s="1">
        <v>0.1101</v>
      </c>
      <c r="G565" s="1">
        <v>0.2559</v>
      </c>
      <c r="H565" s="2">
        <v>6.5703E-6</v>
      </c>
      <c r="I565" s="1">
        <v>132.0</v>
      </c>
    </row>
    <row r="566">
      <c r="A566" s="1" t="s">
        <v>875</v>
      </c>
      <c r="B566" s="1" t="s">
        <v>528</v>
      </c>
      <c r="C566" s="1" t="s">
        <v>876</v>
      </c>
      <c r="D566" s="1">
        <v>25.0</v>
      </c>
      <c r="E566" s="1" t="s">
        <v>308</v>
      </c>
      <c r="F566" s="1">
        <v>0.1101</v>
      </c>
      <c r="G566" s="1">
        <v>0.2559</v>
      </c>
      <c r="H566" s="2">
        <v>6.5703E-6</v>
      </c>
      <c r="I566" s="1">
        <v>132.0</v>
      </c>
    </row>
    <row r="567">
      <c r="A567" s="1" t="s">
        <v>877</v>
      </c>
      <c r="B567" s="1" t="s">
        <v>528</v>
      </c>
      <c r="C567" s="1" t="s">
        <v>876</v>
      </c>
      <c r="D567" s="1">
        <v>25.0</v>
      </c>
      <c r="E567" s="1" t="s">
        <v>308</v>
      </c>
      <c r="F567" s="1">
        <v>0.1101</v>
      </c>
      <c r="G567" s="1">
        <v>0.2559</v>
      </c>
      <c r="H567" s="2">
        <v>6.5703E-6</v>
      </c>
      <c r="I567" s="1">
        <v>132.0</v>
      </c>
    </row>
    <row r="568">
      <c r="A568" s="1" t="s">
        <v>878</v>
      </c>
      <c r="B568" s="1" t="s">
        <v>511</v>
      </c>
      <c r="C568" s="1" t="s">
        <v>879</v>
      </c>
      <c r="D568" s="1">
        <v>50.0</v>
      </c>
      <c r="E568" s="1" t="s">
        <v>308</v>
      </c>
      <c r="F568" s="1">
        <v>0.1101</v>
      </c>
      <c r="G568" s="1">
        <v>0.2559</v>
      </c>
      <c r="H568" s="2">
        <v>6.5703E-6</v>
      </c>
      <c r="I568" s="1">
        <v>132.0</v>
      </c>
    </row>
    <row r="569">
      <c r="A569" s="1" t="s">
        <v>880</v>
      </c>
      <c r="B569" s="1" t="s">
        <v>700</v>
      </c>
      <c r="C569" s="1" t="s">
        <v>651</v>
      </c>
      <c r="D569" s="1">
        <v>52.0</v>
      </c>
      <c r="E569" s="1" t="s">
        <v>308</v>
      </c>
      <c r="F569" s="1">
        <v>0.1101</v>
      </c>
      <c r="G569" s="1">
        <v>0.2559</v>
      </c>
      <c r="H569" s="2">
        <v>6.5703E-6</v>
      </c>
      <c r="I569" s="1">
        <v>132.0</v>
      </c>
    </row>
    <row r="570">
      <c r="A570" s="1" t="s">
        <v>881</v>
      </c>
      <c r="B570" s="1" t="s">
        <v>700</v>
      </c>
      <c r="C570" s="1" t="s">
        <v>651</v>
      </c>
      <c r="D570" s="1">
        <v>52.0</v>
      </c>
      <c r="E570" s="1" t="s">
        <v>308</v>
      </c>
      <c r="F570" s="1">
        <v>0.1101</v>
      </c>
      <c r="G570" s="1">
        <v>0.2559</v>
      </c>
      <c r="H570" s="2">
        <v>6.5703E-6</v>
      </c>
      <c r="I570" s="1">
        <v>132.0</v>
      </c>
    </row>
    <row r="571">
      <c r="A571" s="1" t="s">
        <v>882</v>
      </c>
      <c r="B571" s="1" t="s">
        <v>600</v>
      </c>
      <c r="C571" s="1" t="s">
        <v>883</v>
      </c>
      <c r="D571" s="1">
        <v>2.5</v>
      </c>
      <c r="E571" s="1" t="s">
        <v>616</v>
      </c>
      <c r="F571" s="1">
        <v>0.015</v>
      </c>
      <c r="G571" s="1">
        <v>0.12</v>
      </c>
      <c r="H571" s="2">
        <v>2.0E-5</v>
      </c>
      <c r="I571" s="1">
        <v>132.0</v>
      </c>
    </row>
    <row r="572">
      <c r="A572" s="1" t="s">
        <v>884</v>
      </c>
      <c r="B572" s="1" t="s">
        <v>600</v>
      </c>
      <c r="C572" s="1" t="s">
        <v>883</v>
      </c>
      <c r="D572" s="1">
        <v>2.5</v>
      </c>
      <c r="E572" s="1" t="s">
        <v>616</v>
      </c>
      <c r="F572" s="1">
        <v>0.015</v>
      </c>
      <c r="G572" s="1">
        <v>0.12</v>
      </c>
      <c r="H572" s="2">
        <v>2.0E-5</v>
      </c>
      <c r="I572" s="1">
        <v>132.0</v>
      </c>
    </row>
    <row r="573">
      <c r="A573" s="1" t="s">
        <v>885</v>
      </c>
      <c r="B573" s="1" t="s">
        <v>886</v>
      </c>
      <c r="C573" s="1" t="s">
        <v>619</v>
      </c>
      <c r="D573" s="1">
        <v>4.5</v>
      </c>
      <c r="E573" s="1" t="s">
        <v>616</v>
      </c>
      <c r="F573" s="1">
        <v>0.015</v>
      </c>
      <c r="G573" s="1">
        <v>0.12</v>
      </c>
      <c r="H573" s="2">
        <v>2.0E-5</v>
      </c>
      <c r="I573" s="1">
        <v>132.0</v>
      </c>
    </row>
    <row r="574">
      <c r="A574" s="1" t="s">
        <v>887</v>
      </c>
      <c r="B574" s="1" t="s">
        <v>886</v>
      </c>
      <c r="C574" s="1" t="s">
        <v>619</v>
      </c>
      <c r="D574" s="1">
        <v>4.5</v>
      </c>
      <c r="E574" s="1" t="s">
        <v>616</v>
      </c>
      <c r="F574" s="1">
        <v>0.015</v>
      </c>
      <c r="G574" s="1">
        <v>0.12</v>
      </c>
      <c r="H574" s="2">
        <v>2.0E-5</v>
      </c>
      <c r="I574" s="1">
        <v>132.0</v>
      </c>
    </row>
    <row r="575">
      <c r="A575" s="1" t="s">
        <v>888</v>
      </c>
      <c r="B575" s="1" t="s">
        <v>889</v>
      </c>
      <c r="C575" s="1" t="s">
        <v>619</v>
      </c>
      <c r="D575" s="1">
        <v>13.5</v>
      </c>
      <c r="E575" s="1" t="s">
        <v>616</v>
      </c>
      <c r="F575" s="1">
        <v>0.015</v>
      </c>
      <c r="G575" s="1">
        <v>0.12</v>
      </c>
      <c r="H575" s="2">
        <v>2.0E-5</v>
      </c>
      <c r="I575" s="1">
        <v>132.0</v>
      </c>
    </row>
    <row r="576">
      <c r="A576" s="1" t="s">
        <v>890</v>
      </c>
      <c r="B576" s="1" t="s">
        <v>889</v>
      </c>
      <c r="C576" s="1" t="s">
        <v>619</v>
      </c>
      <c r="D576" s="1">
        <v>13.5</v>
      </c>
      <c r="E576" s="1" t="s">
        <v>616</v>
      </c>
      <c r="F576" s="1">
        <v>0.015</v>
      </c>
      <c r="G576" s="1">
        <v>0.12</v>
      </c>
      <c r="H576" s="2">
        <v>2.0E-5</v>
      </c>
      <c r="I576" s="1">
        <v>132.0</v>
      </c>
    </row>
    <row r="577">
      <c r="A577" s="1" t="s">
        <v>891</v>
      </c>
      <c r="B577" s="1" t="s">
        <v>656</v>
      </c>
      <c r="C577" s="1" t="s">
        <v>461</v>
      </c>
      <c r="D577" s="1">
        <v>1.25</v>
      </c>
      <c r="E577" s="1" t="s">
        <v>308</v>
      </c>
      <c r="F577" s="1">
        <v>0.1101</v>
      </c>
      <c r="G577" s="1">
        <v>0.2559</v>
      </c>
      <c r="H577" s="2">
        <v>6.5703E-6</v>
      </c>
      <c r="I577" s="1">
        <v>132.0</v>
      </c>
    </row>
    <row r="578">
      <c r="A578" s="1" t="s">
        <v>892</v>
      </c>
      <c r="B578" s="1" t="s">
        <v>656</v>
      </c>
      <c r="C578" s="1" t="s">
        <v>461</v>
      </c>
      <c r="D578" s="1">
        <v>1.25</v>
      </c>
      <c r="E578" s="1" t="s">
        <v>308</v>
      </c>
      <c r="F578" s="1">
        <v>0.1101</v>
      </c>
      <c r="G578" s="1">
        <v>0.2559</v>
      </c>
      <c r="H578" s="2">
        <v>6.5703E-6</v>
      </c>
      <c r="I578" s="1">
        <v>132.0</v>
      </c>
    </row>
    <row r="579">
      <c r="A579" s="1" t="s">
        <v>893</v>
      </c>
      <c r="B579" s="1" t="s">
        <v>556</v>
      </c>
      <c r="C579" s="1" t="s">
        <v>894</v>
      </c>
      <c r="D579" s="1">
        <v>2.5</v>
      </c>
      <c r="E579" s="1" t="s">
        <v>616</v>
      </c>
      <c r="F579" s="1">
        <v>0.015</v>
      </c>
      <c r="G579" s="1">
        <v>0.12</v>
      </c>
      <c r="H579" s="2">
        <v>2.0E-5</v>
      </c>
      <c r="I579" s="1">
        <v>132.0</v>
      </c>
    </row>
    <row r="580">
      <c r="A580" s="1" t="s">
        <v>895</v>
      </c>
      <c r="B580" s="1" t="s">
        <v>556</v>
      </c>
      <c r="C580" s="1" t="s">
        <v>894</v>
      </c>
      <c r="D580" s="1">
        <v>2.5</v>
      </c>
      <c r="E580" s="1" t="s">
        <v>616</v>
      </c>
      <c r="F580" s="1">
        <v>0.015</v>
      </c>
      <c r="G580" s="1">
        <v>0.12</v>
      </c>
      <c r="H580" s="2">
        <v>2.0E-5</v>
      </c>
      <c r="I580" s="1">
        <v>132.0</v>
      </c>
    </row>
    <row r="581">
      <c r="A581" s="1" t="s">
        <v>896</v>
      </c>
      <c r="B581" s="1" t="s">
        <v>457</v>
      </c>
      <c r="C581" s="1" t="s">
        <v>454</v>
      </c>
      <c r="D581" s="3">
        <v>5.0</v>
      </c>
      <c r="E581" s="1" t="s">
        <v>308</v>
      </c>
      <c r="H581" s="2"/>
    </row>
    <row r="582">
      <c r="A582" s="1" t="s">
        <v>897</v>
      </c>
      <c r="B582" s="1" t="s">
        <v>457</v>
      </c>
      <c r="C582" s="1" t="s">
        <v>454</v>
      </c>
      <c r="D582" s="3">
        <v>5.0</v>
      </c>
      <c r="E582" s="1" t="s">
        <v>308</v>
      </c>
      <c r="H582" s="2"/>
    </row>
    <row r="583">
      <c r="A583" s="1" t="s">
        <v>898</v>
      </c>
      <c r="B583" s="1" t="s">
        <v>454</v>
      </c>
      <c r="C583" s="1" t="s">
        <v>448</v>
      </c>
      <c r="D583" s="3">
        <v>43.0</v>
      </c>
      <c r="E583" s="1" t="s">
        <v>308</v>
      </c>
      <c r="F583" s="1">
        <v>0.1101</v>
      </c>
      <c r="G583" s="1">
        <v>0.2559</v>
      </c>
      <c r="H583" s="2">
        <v>6.5703E-6</v>
      </c>
      <c r="I583" s="1">
        <v>132.0</v>
      </c>
    </row>
    <row r="584">
      <c r="A584" s="1" t="s">
        <v>899</v>
      </c>
      <c r="B584" s="1" t="s">
        <v>454</v>
      </c>
      <c r="C584" s="1" t="s">
        <v>448</v>
      </c>
      <c r="D584" s="3">
        <v>43.0</v>
      </c>
      <c r="E584" s="1" t="s">
        <v>308</v>
      </c>
      <c r="F584" s="1">
        <v>0.1101</v>
      </c>
      <c r="G584" s="1">
        <v>0.2559</v>
      </c>
      <c r="H584" s="2">
        <v>6.5703E-6</v>
      </c>
      <c r="I584" s="1">
        <v>132.0</v>
      </c>
    </row>
    <row r="585">
      <c r="A585" s="1" t="s">
        <v>900</v>
      </c>
      <c r="B585" s="1" t="s">
        <v>600</v>
      </c>
      <c r="C585" s="1" t="s">
        <v>901</v>
      </c>
      <c r="D585" s="1">
        <v>2.0</v>
      </c>
      <c r="E585" s="1" t="s">
        <v>616</v>
      </c>
      <c r="F585" s="1">
        <v>0.015</v>
      </c>
      <c r="G585" s="1">
        <v>0.12</v>
      </c>
      <c r="H585" s="2">
        <v>2.0E-5</v>
      </c>
      <c r="I585" s="1">
        <v>132.0</v>
      </c>
    </row>
    <row r="586">
      <c r="A586" s="1" t="s">
        <v>902</v>
      </c>
      <c r="B586" s="1" t="s">
        <v>600</v>
      </c>
      <c r="C586" s="1" t="s">
        <v>901</v>
      </c>
      <c r="D586" s="1">
        <v>2.0</v>
      </c>
      <c r="E586" s="1" t="s">
        <v>616</v>
      </c>
      <c r="F586" s="1">
        <v>0.015</v>
      </c>
      <c r="G586" s="1">
        <v>0.12</v>
      </c>
      <c r="H586" s="2">
        <v>2.0E-5</v>
      </c>
      <c r="I586" s="1">
        <v>132.0</v>
      </c>
    </row>
    <row r="587">
      <c r="A587" s="1" t="s">
        <v>903</v>
      </c>
      <c r="B587" s="1" t="s">
        <v>901</v>
      </c>
      <c r="C587" s="1" t="s">
        <v>904</v>
      </c>
      <c r="D587" s="1">
        <v>0.5</v>
      </c>
      <c r="E587" s="1" t="s">
        <v>616</v>
      </c>
      <c r="F587" s="1">
        <v>0.015</v>
      </c>
      <c r="G587" s="1">
        <v>0.12</v>
      </c>
      <c r="H587" s="2">
        <v>2.0E-5</v>
      </c>
      <c r="I587" s="1">
        <v>132.0</v>
      </c>
    </row>
    <row r="588">
      <c r="A588" s="1" t="s">
        <v>905</v>
      </c>
      <c r="B588" s="1" t="s">
        <v>901</v>
      </c>
      <c r="C588" s="1" t="s">
        <v>904</v>
      </c>
      <c r="D588" s="1">
        <v>0.5</v>
      </c>
      <c r="E588" s="1" t="s">
        <v>616</v>
      </c>
      <c r="F588" s="1">
        <v>0.015</v>
      </c>
      <c r="G588" s="1">
        <v>0.12</v>
      </c>
      <c r="H588" s="2">
        <v>2.0E-5</v>
      </c>
      <c r="I588" s="1">
        <v>132.0</v>
      </c>
    </row>
    <row r="589">
      <c r="A589" s="1" t="s">
        <v>906</v>
      </c>
      <c r="B589" s="1" t="s">
        <v>586</v>
      </c>
      <c r="C589" s="1" t="s">
        <v>907</v>
      </c>
      <c r="D589" s="1">
        <v>3.0</v>
      </c>
      <c r="E589" s="1" t="s">
        <v>616</v>
      </c>
      <c r="F589" s="1">
        <v>0.08831</v>
      </c>
      <c r="G589" s="1">
        <v>0.2441</v>
      </c>
      <c r="H589" s="2">
        <v>6.8729E-6</v>
      </c>
      <c r="I589" s="1">
        <v>132.0</v>
      </c>
    </row>
    <row r="590">
      <c r="A590" s="1" t="s">
        <v>908</v>
      </c>
      <c r="B590" s="1" t="s">
        <v>586</v>
      </c>
      <c r="C590" s="1" t="s">
        <v>907</v>
      </c>
      <c r="D590" s="1">
        <v>3.0</v>
      </c>
      <c r="E590" s="1" t="s">
        <v>616</v>
      </c>
      <c r="F590" s="1">
        <v>0.08831</v>
      </c>
      <c r="G590" s="1">
        <v>0.2441</v>
      </c>
      <c r="H590" s="2">
        <v>6.8729E-6</v>
      </c>
      <c r="I590" s="1">
        <v>132.0</v>
      </c>
    </row>
    <row r="591">
      <c r="A591" s="1" t="s">
        <v>909</v>
      </c>
      <c r="B591" s="1" t="s">
        <v>574</v>
      </c>
      <c r="C591" s="1" t="s">
        <v>910</v>
      </c>
      <c r="D591" s="1">
        <v>7.0</v>
      </c>
      <c r="E591" s="1" t="s">
        <v>616</v>
      </c>
      <c r="F591" s="1">
        <v>0.015</v>
      </c>
      <c r="G591" s="1">
        <v>0.12</v>
      </c>
      <c r="H591" s="2">
        <v>2.0E-5</v>
      </c>
      <c r="I591" s="1">
        <v>132.0</v>
      </c>
    </row>
    <row r="592">
      <c r="A592" s="1" t="s">
        <v>911</v>
      </c>
      <c r="B592" s="1" t="s">
        <v>574</v>
      </c>
      <c r="C592" s="1" t="s">
        <v>910</v>
      </c>
      <c r="D592" s="1">
        <v>7.0</v>
      </c>
      <c r="E592" s="1" t="s">
        <v>616</v>
      </c>
      <c r="F592" s="1">
        <v>0.015</v>
      </c>
      <c r="G592" s="1">
        <v>0.12</v>
      </c>
      <c r="H592" s="2">
        <v>2.0E-5</v>
      </c>
      <c r="I592" s="1">
        <v>132.0</v>
      </c>
    </row>
    <row r="593">
      <c r="A593" s="1" t="s">
        <v>912</v>
      </c>
      <c r="B593" s="1" t="s">
        <v>913</v>
      </c>
      <c r="C593" s="1" t="s">
        <v>509</v>
      </c>
      <c r="D593" s="1">
        <v>9.0</v>
      </c>
      <c r="E593" s="1" t="s">
        <v>308</v>
      </c>
      <c r="F593" s="1">
        <v>0.1101</v>
      </c>
      <c r="G593" s="1">
        <v>0.2559</v>
      </c>
      <c r="H593" s="2">
        <v>6.5703E-6</v>
      </c>
      <c r="I593" s="1">
        <v>132.0</v>
      </c>
    </row>
    <row r="594">
      <c r="A594" s="1" t="s">
        <v>914</v>
      </c>
      <c r="B594" s="1" t="s">
        <v>577</v>
      </c>
      <c r="C594" s="1" t="s">
        <v>915</v>
      </c>
      <c r="D594" s="1">
        <v>2.0</v>
      </c>
      <c r="E594" s="1" t="s">
        <v>616</v>
      </c>
      <c r="F594" s="1">
        <v>0.015</v>
      </c>
      <c r="G594" s="1">
        <v>0.12</v>
      </c>
      <c r="H594" s="2">
        <v>2.0E-5</v>
      </c>
      <c r="I594" s="1">
        <v>132.0</v>
      </c>
    </row>
    <row r="595">
      <c r="A595" s="1" t="s">
        <v>916</v>
      </c>
      <c r="B595" s="1" t="s">
        <v>577</v>
      </c>
      <c r="C595" s="1" t="s">
        <v>915</v>
      </c>
      <c r="D595" s="1">
        <v>2.0</v>
      </c>
      <c r="E595" s="1" t="s">
        <v>616</v>
      </c>
      <c r="F595" s="1">
        <v>0.015</v>
      </c>
      <c r="G595" s="1">
        <v>0.12</v>
      </c>
      <c r="H595" s="2">
        <v>2.0E-5</v>
      </c>
      <c r="I595" s="1">
        <v>132.0</v>
      </c>
    </row>
    <row r="596">
      <c r="A596" s="1" t="s">
        <v>917</v>
      </c>
      <c r="B596" s="1" t="s">
        <v>889</v>
      </c>
      <c r="C596" s="1" t="s">
        <v>886</v>
      </c>
      <c r="D596" s="1">
        <v>5.5</v>
      </c>
      <c r="E596" s="1" t="s">
        <v>616</v>
      </c>
      <c r="F596" s="1">
        <v>0.015</v>
      </c>
      <c r="G596" s="1">
        <v>0.12</v>
      </c>
      <c r="H596" s="2">
        <v>2.0E-5</v>
      </c>
      <c r="I596" s="1">
        <v>132.0</v>
      </c>
    </row>
    <row r="597">
      <c r="A597" s="1" t="s">
        <v>918</v>
      </c>
      <c r="B597" s="1" t="s">
        <v>889</v>
      </c>
      <c r="C597" s="1" t="s">
        <v>886</v>
      </c>
      <c r="D597" s="1">
        <v>5.5</v>
      </c>
      <c r="E597" s="1" t="s">
        <v>616</v>
      </c>
      <c r="F597" s="1">
        <v>0.015</v>
      </c>
      <c r="G597" s="1">
        <v>0.12</v>
      </c>
      <c r="H597" s="2">
        <v>2.0E-5</v>
      </c>
      <c r="I597" s="1">
        <v>132.0</v>
      </c>
    </row>
    <row r="598">
      <c r="A598" s="1" t="s">
        <v>919</v>
      </c>
      <c r="B598" s="1" t="s">
        <v>740</v>
      </c>
      <c r="C598" s="1" t="s">
        <v>920</v>
      </c>
      <c r="D598" s="1">
        <v>25.9</v>
      </c>
      <c r="E598" s="1" t="s">
        <v>308</v>
      </c>
      <c r="F598" s="1">
        <v>0.08808</v>
      </c>
      <c r="G598" s="1">
        <v>0.2559</v>
      </c>
      <c r="H598" s="2">
        <v>6.5703E-6</v>
      </c>
      <c r="I598" s="1">
        <v>132.0</v>
      </c>
    </row>
    <row r="599">
      <c r="A599" s="1" t="s">
        <v>921</v>
      </c>
      <c r="B599" s="1" t="s">
        <v>740</v>
      </c>
      <c r="C599" s="1" t="s">
        <v>920</v>
      </c>
      <c r="D599" s="1">
        <v>25.9</v>
      </c>
      <c r="E599" s="1" t="s">
        <v>308</v>
      </c>
      <c r="F599" s="1">
        <v>0.08808</v>
      </c>
      <c r="G599" s="1">
        <v>0.2559</v>
      </c>
      <c r="H599" s="2">
        <v>6.5703E-6</v>
      </c>
      <c r="I599" s="1">
        <v>132.0</v>
      </c>
    </row>
    <row r="600">
      <c r="A600" s="1" t="s">
        <v>922</v>
      </c>
      <c r="B600" s="1" t="s">
        <v>390</v>
      </c>
      <c r="C600" s="1" t="s">
        <v>923</v>
      </c>
      <c r="D600" s="1">
        <v>7.0</v>
      </c>
      <c r="E600" s="1" t="s">
        <v>616</v>
      </c>
      <c r="F600" s="1">
        <v>0.015</v>
      </c>
      <c r="G600" s="1">
        <v>0.12</v>
      </c>
      <c r="H600" s="2">
        <v>2.0E-5</v>
      </c>
      <c r="I600" s="1">
        <v>132.0</v>
      </c>
    </row>
    <row r="601">
      <c r="A601" s="1" t="s">
        <v>924</v>
      </c>
      <c r="B601" s="1" t="s">
        <v>390</v>
      </c>
      <c r="C601" s="1" t="s">
        <v>923</v>
      </c>
      <c r="D601" s="1">
        <v>7.0</v>
      </c>
      <c r="E601" s="1" t="s">
        <v>616</v>
      </c>
      <c r="F601" s="1">
        <v>0.015</v>
      </c>
      <c r="G601" s="1">
        <v>0.12</v>
      </c>
      <c r="H601" s="2">
        <v>2.0E-5</v>
      </c>
      <c r="I601" s="1">
        <v>132.0</v>
      </c>
    </row>
    <row r="602">
      <c r="A602" s="1" t="s">
        <v>925</v>
      </c>
      <c r="B602" s="1" t="s">
        <v>615</v>
      </c>
      <c r="C602" s="1" t="s">
        <v>872</v>
      </c>
      <c r="D602" s="1">
        <v>7.5</v>
      </c>
      <c r="E602" s="1" t="s">
        <v>616</v>
      </c>
      <c r="F602" s="1">
        <v>0.015</v>
      </c>
      <c r="G602" s="1">
        <v>0.12</v>
      </c>
      <c r="H602" s="2">
        <v>2.0E-5</v>
      </c>
      <c r="I602" s="1">
        <v>132.0</v>
      </c>
    </row>
    <row r="603">
      <c r="A603" s="1" t="s">
        <v>926</v>
      </c>
      <c r="B603" s="1" t="s">
        <v>615</v>
      </c>
      <c r="C603" s="1" t="s">
        <v>872</v>
      </c>
      <c r="D603" s="1">
        <v>7.5</v>
      </c>
      <c r="E603" s="1" t="s">
        <v>616</v>
      </c>
      <c r="F603" s="1">
        <v>0.015</v>
      </c>
      <c r="G603" s="1">
        <v>0.12</v>
      </c>
      <c r="H603" s="2">
        <v>2.0E-5</v>
      </c>
      <c r="I603" s="1">
        <v>132.0</v>
      </c>
    </row>
    <row r="604">
      <c r="A604" s="1" t="s">
        <v>927</v>
      </c>
      <c r="B604" s="1" t="s">
        <v>928</v>
      </c>
      <c r="C604" s="1" t="s">
        <v>827</v>
      </c>
      <c r="D604" s="1">
        <v>22.5</v>
      </c>
      <c r="E604" s="1" t="s">
        <v>308</v>
      </c>
      <c r="F604" s="1">
        <v>0.1101</v>
      </c>
      <c r="G604" s="1">
        <v>0.2559</v>
      </c>
      <c r="H604" s="2">
        <v>6.5703E-6</v>
      </c>
      <c r="I604" s="1">
        <v>132.0</v>
      </c>
    </row>
    <row r="605">
      <c r="A605" s="1" t="s">
        <v>929</v>
      </c>
      <c r="B605" s="1" t="s">
        <v>928</v>
      </c>
      <c r="C605" s="1" t="s">
        <v>827</v>
      </c>
      <c r="D605" s="1">
        <v>22.5</v>
      </c>
      <c r="E605" s="1" t="s">
        <v>308</v>
      </c>
      <c r="F605" s="1">
        <v>0.1101</v>
      </c>
      <c r="G605" s="1">
        <v>0.2559</v>
      </c>
      <c r="H605" s="2">
        <v>6.5703E-6</v>
      </c>
      <c r="I605" s="1">
        <v>132.0</v>
      </c>
    </row>
    <row r="606">
      <c r="A606" s="1" t="s">
        <v>930</v>
      </c>
      <c r="B606" s="1" t="s">
        <v>533</v>
      </c>
      <c r="C606" s="1" t="s">
        <v>539</v>
      </c>
      <c r="D606" s="3">
        <v>25.0</v>
      </c>
      <c r="E606" s="1" t="s">
        <v>308</v>
      </c>
      <c r="F606" s="1">
        <v>0.1101</v>
      </c>
      <c r="G606" s="1">
        <v>0.2559</v>
      </c>
      <c r="H606" s="2">
        <v>6.5703E-6</v>
      </c>
      <c r="I606" s="1">
        <v>132.0</v>
      </c>
    </row>
    <row r="607">
      <c r="A607" s="1" t="s">
        <v>931</v>
      </c>
      <c r="B607" s="1" t="s">
        <v>533</v>
      </c>
      <c r="C607" s="1" t="s">
        <v>539</v>
      </c>
      <c r="D607" s="3">
        <v>25.0</v>
      </c>
      <c r="E607" s="1" t="s">
        <v>308</v>
      </c>
      <c r="F607" s="1">
        <v>0.1101</v>
      </c>
      <c r="G607" s="1">
        <v>0.2559</v>
      </c>
      <c r="H607" s="2">
        <v>6.5703E-6</v>
      </c>
      <c r="I607" s="1">
        <v>132.0</v>
      </c>
    </row>
    <row r="608">
      <c r="A608" s="1" t="s">
        <v>932</v>
      </c>
      <c r="B608" s="1" t="s">
        <v>827</v>
      </c>
      <c r="C608" s="1" t="s">
        <v>933</v>
      </c>
      <c r="D608" s="1">
        <v>32.5</v>
      </c>
      <c r="E608" s="1" t="s">
        <v>308</v>
      </c>
      <c r="F608" s="1">
        <v>0.08808</v>
      </c>
      <c r="G608" s="1">
        <v>0.2559</v>
      </c>
      <c r="H608" s="2">
        <v>6.5703E-6</v>
      </c>
      <c r="I608" s="1">
        <v>132.0</v>
      </c>
    </row>
    <row r="609">
      <c r="A609" s="1" t="s">
        <v>934</v>
      </c>
      <c r="B609" s="1" t="s">
        <v>827</v>
      </c>
      <c r="C609" s="1" t="s">
        <v>933</v>
      </c>
      <c r="D609" s="1">
        <v>32.5</v>
      </c>
      <c r="E609" s="1" t="s">
        <v>308</v>
      </c>
      <c r="F609" s="1">
        <v>0.08808</v>
      </c>
      <c r="G609" s="1">
        <v>0.2559</v>
      </c>
      <c r="H609" s="2">
        <v>6.5703E-6</v>
      </c>
      <c r="I609" s="1">
        <v>132.0</v>
      </c>
    </row>
    <row r="610">
      <c r="A610" s="1" t="s">
        <v>935</v>
      </c>
      <c r="B610" s="1" t="s">
        <v>703</v>
      </c>
      <c r="C610" s="1" t="s">
        <v>920</v>
      </c>
      <c r="D610" s="1">
        <f t="shared" ref="D610:D611" si="8">28+2</f>
        <v>30</v>
      </c>
      <c r="E610" s="1" t="s">
        <v>308</v>
      </c>
      <c r="F610" s="1">
        <v>0.1101</v>
      </c>
      <c r="G610" s="1">
        <v>0.2559</v>
      </c>
      <c r="H610" s="2">
        <v>6.5703E-6</v>
      </c>
      <c r="I610" s="1">
        <v>132.0</v>
      </c>
    </row>
    <row r="611">
      <c r="A611" s="1" t="s">
        <v>936</v>
      </c>
      <c r="B611" s="1" t="s">
        <v>703</v>
      </c>
      <c r="C611" s="1" t="s">
        <v>920</v>
      </c>
      <c r="D611" s="1">
        <f t="shared" si="8"/>
        <v>30</v>
      </c>
      <c r="E611" s="1" t="s">
        <v>308</v>
      </c>
      <c r="F611" s="1">
        <v>0.1101</v>
      </c>
      <c r="G611" s="1">
        <v>0.2559</v>
      </c>
      <c r="H611" s="2">
        <v>6.5703E-6</v>
      </c>
      <c r="I611" s="1">
        <v>132.0</v>
      </c>
    </row>
    <row r="612">
      <c r="A612" s="1" t="s">
        <v>713</v>
      </c>
      <c r="B612" s="1" t="s">
        <v>549</v>
      </c>
      <c r="C612" s="1" t="s">
        <v>714</v>
      </c>
      <c r="D612" s="1">
        <v>47.0</v>
      </c>
      <c r="E612" s="1" t="s">
        <v>308</v>
      </c>
      <c r="F612" s="1">
        <v>0.1101</v>
      </c>
      <c r="G612" s="1">
        <v>0.2559</v>
      </c>
      <c r="H612" s="2">
        <v>6.5703E-6</v>
      </c>
      <c r="I612" s="1">
        <v>132.0</v>
      </c>
    </row>
    <row r="613">
      <c r="A613" s="1" t="s">
        <v>715</v>
      </c>
      <c r="B613" s="1" t="s">
        <v>549</v>
      </c>
      <c r="C613" s="1" t="s">
        <v>714</v>
      </c>
      <c r="D613" s="1">
        <v>47.0</v>
      </c>
      <c r="E613" s="1" t="s">
        <v>308</v>
      </c>
      <c r="F613" s="1">
        <v>0.1101</v>
      </c>
      <c r="G613" s="1">
        <v>0.2559</v>
      </c>
      <c r="H613" s="2">
        <v>6.5703E-6</v>
      </c>
      <c r="I613" s="1">
        <v>132.0</v>
      </c>
    </row>
    <row r="614">
      <c r="A614" s="1" t="s">
        <v>937</v>
      </c>
      <c r="B614" s="1" t="s">
        <v>938</v>
      </c>
      <c r="C614" s="1" t="s">
        <v>939</v>
      </c>
      <c r="D614" s="1">
        <v>11.0</v>
      </c>
      <c r="E614" s="1" t="s">
        <v>308</v>
      </c>
      <c r="F614" s="1">
        <v>0.1101</v>
      </c>
      <c r="G614" s="1">
        <v>0.2559</v>
      </c>
      <c r="H614" s="2">
        <v>6.5703E-6</v>
      </c>
      <c r="I614" s="1">
        <v>132.0</v>
      </c>
    </row>
    <row r="615">
      <c r="A615" s="1" t="s">
        <v>940</v>
      </c>
      <c r="B615" s="1" t="s">
        <v>521</v>
      </c>
      <c r="C615" s="1" t="s">
        <v>504</v>
      </c>
      <c r="D615" s="1">
        <v>46.5</v>
      </c>
      <c r="E615" s="1" t="s">
        <v>308</v>
      </c>
      <c r="F615" s="1">
        <v>0.1101</v>
      </c>
      <c r="G615" s="1">
        <v>0.2559</v>
      </c>
      <c r="H615" s="2">
        <v>6.5703E-6</v>
      </c>
      <c r="I615" s="1">
        <v>132.0</v>
      </c>
    </row>
    <row r="616">
      <c r="A616" s="1" t="s">
        <v>941</v>
      </c>
      <c r="B616" s="1" t="s">
        <v>521</v>
      </c>
      <c r="C616" s="1" t="s">
        <v>504</v>
      </c>
      <c r="D616" s="1">
        <v>46.5</v>
      </c>
      <c r="E616" s="1" t="s">
        <v>308</v>
      </c>
      <c r="F616" s="1">
        <v>0.1101</v>
      </c>
      <c r="G616" s="1">
        <v>0.2559</v>
      </c>
      <c r="H616" s="2">
        <v>6.5703E-6</v>
      </c>
      <c r="I616" s="1">
        <v>132.0</v>
      </c>
    </row>
    <row r="617">
      <c r="A617" s="1" t="s">
        <v>942</v>
      </c>
      <c r="B617" s="1" t="s">
        <v>943</v>
      </c>
      <c r="C617" s="1" t="s">
        <v>539</v>
      </c>
      <c r="D617" s="1">
        <v>10.0</v>
      </c>
      <c r="E617" s="1" t="s">
        <v>308</v>
      </c>
      <c r="F617" s="1">
        <v>0.1101</v>
      </c>
      <c r="G617" s="1">
        <v>0.2559</v>
      </c>
      <c r="H617" s="2">
        <v>6.5703E-6</v>
      </c>
      <c r="I617" s="1">
        <v>132.0</v>
      </c>
    </row>
    <row r="618">
      <c r="A618" s="1" t="s">
        <v>944</v>
      </c>
      <c r="B618" s="1" t="s">
        <v>943</v>
      </c>
      <c r="C618" s="1" t="s">
        <v>539</v>
      </c>
      <c r="D618" s="1">
        <v>10.0</v>
      </c>
      <c r="E618" s="1" t="s">
        <v>308</v>
      </c>
      <c r="F618" s="1">
        <v>0.1101</v>
      </c>
      <c r="G618" s="1">
        <v>0.2559</v>
      </c>
      <c r="H618" s="2">
        <v>6.5703E-6</v>
      </c>
      <c r="I618" s="1">
        <v>132.0</v>
      </c>
    </row>
    <row r="619">
      <c r="A619" s="1" t="s">
        <v>945</v>
      </c>
      <c r="B619" s="1" t="s">
        <v>920</v>
      </c>
      <c r="C619" s="1" t="s">
        <v>946</v>
      </c>
      <c r="D619" s="1">
        <f t="shared" ref="D619:D620" si="9">7+2</f>
        <v>9</v>
      </c>
      <c r="E619" s="1" t="s">
        <v>308</v>
      </c>
      <c r="F619" s="1">
        <v>0.1101</v>
      </c>
      <c r="G619" s="1">
        <v>0.2559</v>
      </c>
      <c r="H619" s="2">
        <v>6.5703E-6</v>
      </c>
      <c r="I619" s="1">
        <v>132.0</v>
      </c>
    </row>
    <row r="620">
      <c r="A620" s="1" t="s">
        <v>947</v>
      </c>
      <c r="B620" s="1" t="s">
        <v>920</v>
      </c>
      <c r="C620" s="1" t="s">
        <v>946</v>
      </c>
      <c r="D620" s="1">
        <f t="shared" si="9"/>
        <v>9</v>
      </c>
      <c r="E620" s="1" t="s">
        <v>308</v>
      </c>
      <c r="F620" s="1">
        <v>0.1101</v>
      </c>
      <c r="G620" s="1">
        <v>0.2559</v>
      </c>
      <c r="H620" s="2">
        <v>6.5703E-6</v>
      </c>
      <c r="I620" s="1">
        <v>132.0</v>
      </c>
    </row>
    <row r="621">
      <c r="A621" s="1" t="s">
        <v>948</v>
      </c>
      <c r="B621" s="1" t="s">
        <v>359</v>
      </c>
      <c r="C621" s="1" t="s">
        <v>949</v>
      </c>
      <c r="D621" s="1">
        <v>24.0</v>
      </c>
      <c r="E621" s="1" t="s">
        <v>308</v>
      </c>
      <c r="F621" s="1">
        <v>0.1101</v>
      </c>
      <c r="G621" s="1">
        <v>0.2559</v>
      </c>
      <c r="H621" s="2">
        <v>6.5703E-6</v>
      </c>
      <c r="I621" s="1">
        <v>132.0</v>
      </c>
    </row>
    <row r="622">
      <c r="A622" s="1" t="s">
        <v>950</v>
      </c>
      <c r="B622" s="1" t="s">
        <v>359</v>
      </c>
      <c r="C622" s="1" t="s">
        <v>949</v>
      </c>
      <c r="D622" s="1">
        <v>24.0</v>
      </c>
      <c r="E622" s="1" t="s">
        <v>308</v>
      </c>
      <c r="F622" s="1">
        <v>0.1101</v>
      </c>
      <c r="G622" s="1">
        <v>0.2559</v>
      </c>
      <c r="H622" s="2">
        <v>6.5703E-6</v>
      </c>
      <c r="I622" s="1">
        <v>132.0</v>
      </c>
    </row>
    <row r="623">
      <c r="A623" s="1" t="s">
        <v>951</v>
      </c>
      <c r="B623" s="1" t="s">
        <v>457</v>
      </c>
      <c r="C623" s="1" t="s">
        <v>712</v>
      </c>
      <c r="D623" s="1">
        <v>39.0</v>
      </c>
      <c r="E623" s="1" t="s">
        <v>308</v>
      </c>
      <c r="F623" s="1">
        <v>0.1101</v>
      </c>
      <c r="G623" s="1">
        <v>0.2559</v>
      </c>
      <c r="H623" s="2">
        <v>6.5703E-6</v>
      </c>
      <c r="I623" s="1">
        <v>132.0</v>
      </c>
    </row>
    <row r="624">
      <c r="A624" s="1" t="s">
        <v>952</v>
      </c>
      <c r="B624" s="1" t="s">
        <v>838</v>
      </c>
      <c r="C624" s="1" t="s">
        <v>547</v>
      </c>
      <c r="D624" s="1">
        <v>31.0</v>
      </c>
      <c r="E624" s="1" t="s">
        <v>308</v>
      </c>
      <c r="F624" s="1">
        <v>0.1101</v>
      </c>
      <c r="G624" s="1">
        <v>0.2559</v>
      </c>
      <c r="H624" s="2">
        <v>6.5703E-6</v>
      </c>
      <c r="I624" s="1">
        <v>132.0</v>
      </c>
    </row>
    <row r="625">
      <c r="A625" s="1" t="s">
        <v>953</v>
      </c>
      <c r="B625" s="1" t="s">
        <v>356</v>
      </c>
      <c r="C625" s="1" t="s">
        <v>954</v>
      </c>
      <c r="D625" s="1">
        <v>16.0</v>
      </c>
      <c r="E625" s="1" t="s">
        <v>308</v>
      </c>
      <c r="F625" s="1">
        <v>0.1101</v>
      </c>
      <c r="G625" s="1">
        <v>0.2559</v>
      </c>
      <c r="H625" s="2">
        <v>6.5703E-6</v>
      </c>
      <c r="I625" s="1">
        <v>132.0</v>
      </c>
    </row>
    <row r="626">
      <c r="A626" s="1" t="s">
        <v>955</v>
      </c>
      <c r="B626" s="1" t="s">
        <v>356</v>
      </c>
      <c r="C626" s="1" t="s">
        <v>954</v>
      </c>
      <c r="D626" s="1">
        <v>16.0</v>
      </c>
      <c r="E626" s="1" t="s">
        <v>308</v>
      </c>
      <c r="F626" s="1">
        <v>0.1101</v>
      </c>
      <c r="G626" s="1">
        <v>0.2559</v>
      </c>
      <c r="H626" s="2">
        <v>6.5703E-6</v>
      </c>
      <c r="I626" s="1">
        <v>132.0</v>
      </c>
    </row>
    <row r="627">
      <c r="A627" s="1" t="s">
        <v>956</v>
      </c>
      <c r="B627" s="1" t="s">
        <v>859</v>
      </c>
      <c r="C627" s="1" t="s">
        <v>928</v>
      </c>
      <c r="D627" s="1">
        <v>20.5</v>
      </c>
      <c r="E627" s="1" t="s">
        <v>308</v>
      </c>
      <c r="F627" s="1">
        <v>0.1101</v>
      </c>
      <c r="G627" s="1">
        <v>0.2559</v>
      </c>
      <c r="H627" s="2">
        <v>6.5703E-6</v>
      </c>
      <c r="I627" s="1">
        <v>132.0</v>
      </c>
    </row>
    <row r="628">
      <c r="A628" s="1" t="s">
        <v>957</v>
      </c>
      <c r="B628" s="1" t="s">
        <v>859</v>
      </c>
      <c r="C628" s="1" t="s">
        <v>928</v>
      </c>
      <c r="D628" s="1">
        <v>20.5</v>
      </c>
      <c r="E628" s="1" t="s">
        <v>308</v>
      </c>
      <c r="F628" s="1">
        <v>0.1101</v>
      </c>
      <c r="G628" s="1">
        <v>0.2559</v>
      </c>
      <c r="H628" s="2">
        <v>6.5703E-6</v>
      </c>
      <c r="I628" s="1">
        <v>132.0</v>
      </c>
    </row>
    <row r="629">
      <c r="A629" s="1" t="s">
        <v>958</v>
      </c>
      <c r="B629" s="1" t="s">
        <v>959</v>
      </c>
      <c r="C629" s="1" t="s">
        <v>320</v>
      </c>
      <c r="D629" s="1">
        <v>8.0</v>
      </c>
      <c r="E629" s="1" t="s">
        <v>308</v>
      </c>
      <c r="F629" s="1">
        <v>0.1101</v>
      </c>
      <c r="G629" s="1">
        <v>0.2559</v>
      </c>
      <c r="H629" s="2">
        <v>6.5703E-6</v>
      </c>
      <c r="I629" s="1">
        <v>132.0</v>
      </c>
    </row>
    <row r="630">
      <c r="A630" s="1" t="s">
        <v>960</v>
      </c>
      <c r="B630" s="1" t="s">
        <v>959</v>
      </c>
      <c r="C630" s="1" t="s">
        <v>320</v>
      </c>
      <c r="D630" s="1">
        <v>8.0</v>
      </c>
      <c r="E630" s="1" t="s">
        <v>308</v>
      </c>
      <c r="F630" s="1">
        <v>0.1101</v>
      </c>
      <c r="G630" s="1">
        <v>0.2559</v>
      </c>
      <c r="H630" s="2">
        <v>6.5703E-6</v>
      </c>
      <c r="I630" s="1">
        <v>132.0</v>
      </c>
    </row>
    <row r="631">
      <c r="A631" s="1" t="s">
        <v>961</v>
      </c>
      <c r="B631" s="1" t="s">
        <v>962</v>
      </c>
      <c r="C631" s="1" t="s">
        <v>464</v>
      </c>
      <c r="D631" s="1">
        <v>22.0</v>
      </c>
      <c r="E631" s="1" t="s">
        <v>308</v>
      </c>
      <c r="F631" s="1">
        <v>0.1101</v>
      </c>
      <c r="G631" s="1">
        <v>0.2559</v>
      </c>
      <c r="H631" s="2">
        <v>6.5703E-6</v>
      </c>
      <c r="I631" s="1">
        <v>132.0</v>
      </c>
    </row>
    <row r="632">
      <c r="A632" s="1" t="s">
        <v>963</v>
      </c>
      <c r="B632" s="1" t="s">
        <v>962</v>
      </c>
      <c r="C632" s="1" t="s">
        <v>464</v>
      </c>
      <c r="D632" s="1">
        <v>22.0</v>
      </c>
      <c r="E632" s="1" t="s">
        <v>308</v>
      </c>
      <c r="F632" s="1">
        <v>0.1101</v>
      </c>
      <c r="G632" s="1">
        <v>0.2559</v>
      </c>
      <c r="H632" s="2">
        <v>6.5703E-6</v>
      </c>
      <c r="I632" s="1">
        <v>132.0</v>
      </c>
    </row>
    <row r="633">
      <c r="A633" s="1" t="s">
        <v>964</v>
      </c>
      <c r="B633" s="1" t="s">
        <v>371</v>
      </c>
      <c r="C633" s="1" t="s">
        <v>965</v>
      </c>
      <c r="D633" s="1">
        <v>32.0</v>
      </c>
      <c r="E633" s="1" t="s">
        <v>308</v>
      </c>
      <c r="F633" s="1">
        <v>0.1101</v>
      </c>
      <c r="G633" s="1">
        <v>0.2559</v>
      </c>
      <c r="H633" s="2">
        <v>6.5703E-6</v>
      </c>
      <c r="I633" s="1">
        <v>132.0</v>
      </c>
    </row>
    <row r="634">
      <c r="A634" s="1" t="s">
        <v>966</v>
      </c>
      <c r="B634" s="1" t="s">
        <v>371</v>
      </c>
      <c r="C634" s="1" t="s">
        <v>965</v>
      </c>
      <c r="D634" s="1">
        <v>32.0</v>
      </c>
      <c r="E634" s="1" t="s">
        <v>308</v>
      </c>
      <c r="F634" s="1">
        <v>0.1101</v>
      </c>
      <c r="G634" s="1">
        <v>0.2559</v>
      </c>
      <c r="H634" s="2">
        <v>6.5703E-6</v>
      </c>
      <c r="I634" s="1">
        <v>132.0</v>
      </c>
    </row>
    <row r="635">
      <c r="A635" s="1" t="s">
        <v>967</v>
      </c>
      <c r="B635" s="1" t="s">
        <v>433</v>
      </c>
      <c r="C635" s="1" t="s">
        <v>968</v>
      </c>
      <c r="D635" s="1">
        <v>27.0</v>
      </c>
      <c r="E635" s="1" t="s">
        <v>308</v>
      </c>
      <c r="F635" s="1">
        <v>0.1101</v>
      </c>
      <c r="G635" s="1">
        <v>0.2559</v>
      </c>
      <c r="H635" s="2">
        <v>6.5703E-6</v>
      </c>
      <c r="I635" s="1">
        <v>132.0</v>
      </c>
    </row>
    <row r="636">
      <c r="A636" s="1" t="s">
        <v>969</v>
      </c>
      <c r="B636" s="1" t="s">
        <v>433</v>
      </c>
      <c r="C636" s="1" t="s">
        <v>968</v>
      </c>
      <c r="D636" s="1">
        <v>27.0</v>
      </c>
      <c r="E636" s="1" t="s">
        <v>308</v>
      </c>
      <c r="F636" s="1">
        <v>0.1101</v>
      </c>
      <c r="G636" s="1">
        <v>0.2559</v>
      </c>
      <c r="H636" s="2">
        <v>6.5703E-6</v>
      </c>
      <c r="I636" s="1">
        <v>132.0</v>
      </c>
    </row>
    <row r="637">
      <c r="A637" s="1" t="s">
        <v>970</v>
      </c>
      <c r="B637" s="1" t="s">
        <v>928</v>
      </c>
      <c r="C637" s="1" t="s">
        <v>682</v>
      </c>
      <c r="D637" s="1">
        <v>9.0</v>
      </c>
      <c r="E637" s="1" t="s">
        <v>308</v>
      </c>
      <c r="F637" s="1">
        <v>0.1101</v>
      </c>
      <c r="G637" s="1">
        <v>0.2559</v>
      </c>
      <c r="H637" s="2">
        <v>6.5703E-6</v>
      </c>
      <c r="I637" s="1">
        <v>132.0</v>
      </c>
    </row>
    <row r="638">
      <c r="A638" s="1" t="s">
        <v>971</v>
      </c>
      <c r="B638" s="1" t="s">
        <v>928</v>
      </c>
      <c r="C638" s="1" t="s">
        <v>682</v>
      </c>
      <c r="D638" s="1">
        <v>9.0</v>
      </c>
      <c r="E638" s="1" t="s">
        <v>308</v>
      </c>
      <c r="F638" s="1">
        <v>0.1101</v>
      </c>
      <c r="G638" s="1">
        <v>0.2559</v>
      </c>
      <c r="H638" s="2">
        <v>6.5703E-6</v>
      </c>
      <c r="I638" s="1">
        <v>132.0</v>
      </c>
    </row>
    <row r="639">
      <c r="A639" s="1" t="s">
        <v>972</v>
      </c>
      <c r="B639" s="1" t="s">
        <v>451</v>
      </c>
      <c r="C639" s="1" t="s">
        <v>973</v>
      </c>
      <c r="D639" s="1">
        <v>26.0</v>
      </c>
      <c r="E639" s="1" t="s">
        <v>308</v>
      </c>
      <c r="F639" s="1">
        <v>0.1101</v>
      </c>
      <c r="G639" s="1">
        <v>0.2559</v>
      </c>
      <c r="H639" s="2">
        <v>6.5703E-6</v>
      </c>
      <c r="I639" s="1">
        <v>132.0</v>
      </c>
    </row>
    <row r="640">
      <c r="A640" s="1" t="s">
        <v>974</v>
      </c>
      <c r="B640" s="1" t="s">
        <v>451</v>
      </c>
      <c r="C640" s="1" t="s">
        <v>973</v>
      </c>
      <c r="D640" s="1">
        <v>26.0</v>
      </c>
      <c r="E640" s="1" t="s">
        <v>308</v>
      </c>
      <c r="F640" s="1">
        <v>0.1101</v>
      </c>
      <c r="G640" s="1">
        <v>0.2559</v>
      </c>
      <c r="H640" s="2">
        <v>6.5703E-6</v>
      </c>
      <c r="I640" s="1">
        <v>132.0</v>
      </c>
    </row>
    <row r="641">
      <c r="A641" s="1" t="s">
        <v>975</v>
      </c>
      <c r="B641" s="1" t="s">
        <v>735</v>
      </c>
      <c r="C641" s="1" t="s">
        <v>976</v>
      </c>
      <c r="D641" s="1">
        <v>34.5</v>
      </c>
      <c r="E641" s="1" t="s">
        <v>308</v>
      </c>
      <c r="F641" s="1">
        <v>0.1101</v>
      </c>
      <c r="G641" s="1">
        <v>0.2559</v>
      </c>
      <c r="H641" s="2">
        <v>6.5703E-6</v>
      </c>
      <c r="I641" s="1">
        <v>132.0</v>
      </c>
    </row>
    <row r="642">
      <c r="A642" s="1" t="s">
        <v>977</v>
      </c>
      <c r="B642" s="1" t="s">
        <v>735</v>
      </c>
      <c r="C642" s="1" t="s">
        <v>976</v>
      </c>
      <c r="D642" s="1">
        <v>34.5</v>
      </c>
      <c r="E642" s="1" t="s">
        <v>308</v>
      </c>
      <c r="F642" s="1">
        <v>0.1101</v>
      </c>
      <c r="G642" s="1">
        <v>0.2559</v>
      </c>
      <c r="H642" s="2">
        <v>6.5703E-6</v>
      </c>
      <c r="I642" s="1">
        <v>132.0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44.0"/>
    <col customWidth="1" min="3" max="3" width="12.13"/>
    <col customWidth="1" min="4" max="4" width="12.63"/>
    <col customWidth="1" min="5" max="5" width="11.13"/>
    <col customWidth="1" min="6" max="6" width="16.25"/>
    <col customWidth="1" min="7" max="8" width="9.0"/>
    <col customWidth="1" min="9" max="9" width="11.0"/>
    <col customWidth="1" min="10" max="10" width="9.0"/>
  </cols>
  <sheetData>
    <row r="1" ht="20.25" customHeight="1"/>
    <row r="3" ht="12.0" customHeight="1">
      <c r="A3" s="1"/>
      <c r="B3" s="1" t="s">
        <v>978</v>
      </c>
      <c r="C3" s="1">
        <f>0.5</f>
        <v>0.5</v>
      </c>
      <c r="H3" s="13">
        <f>((30*30*60)^(1/3))</f>
        <v>37.7976315</v>
      </c>
    </row>
    <row r="4">
      <c r="A4" s="1"/>
      <c r="B4" s="1" t="s">
        <v>979</v>
      </c>
      <c r="C4" s="13">
        <f>0.25</f>
        <v>0.25</v>
      </c>
    </row>
    <row r="5" ht="12.0" customHeight="1">
      <c r="A5" s="1"/>
      <c r="B5" s="1" t="s">
        <v>980</v>
      </c>
      <c r="C5" s="13">
        <f>0.7</f>
        <v>0.7</v>
      </c>
      <c r="H5" s="1" t="s">
        <v>981</v>
      </c>
      <c r="I5" s="13">
        <f>1*12*2.54</f>
        <v>30.48</v>
      </c>
      <c r="J5" s="1" t="s">
        <v>982</v>
      </c>
    </row>
    <row r="6" ht="12.0" customHeight="1">
      <c r="A6" s="1"/>
      <c r="B6" s="1" t="s">
        <v>983</v>
      </c>
      <c r="C6" s="13">
        <f>0.55</f>
        <v>0.55</v>
      </c>
      <c r="H6" s="1" t="s">
        <v>984</v>
      </c>
      <c r="I6" s="1">
        <f>1.33</f>
        <v>1.33</v>
      </c>
      <c r="J6" s="1" t="s">
        <v>982</v>
      </c>
    </row>
    <row r="7" ht="12.0" customHeight="1">
      <c r="A7" s="1"/>
      <c r="B7" s="1" t="s">
        <v>985</v>
      </c>
      <c r="C7" s="13">
        <f>0.5</f>
        <v>0.5</v>
      </c>
      <c r="H7" s="1" t="s">
        <v>986</v>
      </c>
      <c r="I7" s="14">
        <f>8.85418781884E-12</f>
        <v>0</v>
      </c>
    </row>
    <row r="8" ht="12.0" customHeight="1">
      <c r="A8" s="1"/>
      <c r="B8" s="1" t="s">
        <v>987</v>
      </c>
      <c r="C8" s="13">
        <f>0.22</f>
        <v>0.22</v>
      </c>
      <c r="H8" s="1" t="s">
        <v>988</v>
      </c>
      <c r="I8" s="15">
        <f>(2*pi()*I7)/LN(I5/I6)</f>
        <v>0</v>
      </c>
      <c r="J8" s="1" t="s">
        <v>989</v>
      </c>
    </row>
    <row r="9" ht="12.0" customHeight="1">
      <c r="A9" s="1"/>
      <c r="B9" s="1" t="s">
        <v>990</v>
      </c>
      <c r="E9" s="13">
        <f>0.92</f>
        <v>0.92</v>
      </c>
      <c r="I9" s="15">
        <f>I8*100000</f>
        <v>0.000001776322637</v>
      </c>
      <c r="J9" s="1" t="s">
        <v>991</v>
      </c>
    </row>
    <row r="10" ht="12.0" customHeight="1">
      <c r="A10" s="1"/>
      <c r="B10" s="1" t="s">
        <v>992</v>
      </c>
      <c r="E10" s="16">
        <f>(50/60)</f>
        <v>0.8333333333</v>
      </c>
      <c r="F10" s="13">
        <f>1/E10</f>
        <v>1.2</v>
      </c>
      <c r="I10" s="15">
        <f>I8*10000*1.6</f>
        <v>0.0000002842116219</v>
      </c>
      <c r="J10" s="1" t="s">
        <v>993</v>
      </c>
    </row>
    <row r="11" ht="15.0" customHeight="1">
      <c r="A11" s="17"/>
      <c r="B11" s="17" t="s">
        <v>994</v>
      </c>
      <c r="C11" s="17" t="s">
        <v>995</v>
      </c>
      <c r="D11" s="17" t="s">
        <v>996</v>
      </c>
      <c r="E11" s="17" t="s">
        <v>997</v>
      </c>
      <c r="F11" s="1" t="s">
        <v>998</v>
      </c>
      <c r="G11" s="17" t="s">
        <v>999</v>
      </c>
    </row>
    <row r="12" ht="12.0" customHeight="1">
      <c r="A12" s="1"/>
      <c r="B12" s="1" t="s">
        <v>136</v>
      </c>
      <c r="C12" s="13">
        <f>0.06397*E9</f>
        <v>0.0588524</v>
      </c>
      <c r="D12" s="13">
        <f>0.2362*E10</f>
        <v>0.1968333333</v>
      </c>
      <c r="E12" s="13">
        <f>0.1395*1000000*F10</f>
        <v>167400</v>
      </c>
      <c r="F12" s="15">
        <f t="shared" ref="F12:F21" si="1">1/E12</f>
        <v>0.000005973715651</v>
      </c>
      <c r="G12" s="13">
        <f>1000</f>
        <v>1000</v>
      </c>
      <c r="H12" s="1" t="s">
        <v>1000</v>
      </c>
      <c r="I12" s="18">
        <f t="shared" ref="I12:I13" si="2">1/(2*pi()*60*I9)</f>
        <v>1493.299882</v>
      </c>
    </row>
    <row r="13" ht="12.0" customHeight="1">
      <c r="A13" s="1"/>
      <c r="B13" s="1" t="s">
        <v>41</v>
      </c>
      <c r="C13" s="13">
        <f>0.06397*E9*C3</f>
        <v>0.0294262</v>
      </c>
      <c r="D13" s="13">
        <f>0.2362*E10*C5</f>
        <v>0.1377833333</v>
      </c>
      <c r="E13" s="13">
        <f>0.1395*1000000*F10*C7</f>
        <v>83700</v>
      </c>
      <c r="F13" s="15">
        <f t="shared" si="1"/>
        <v>0.0000119474313</v>
      </c>
      <c r="G13" s="13">
        <f>2*1000</f>
        <v>2000</v>
      </c>
      <c r="I13" s="14">
        <f t="shared" si="2"/>
        <v>9333.124264</v>
      </c>
    </row>
    <row r="14" ht="12.0" customHeight="1">
      <c r="A14" s="1"/>
      <c r="B14" s="1" t="s">
        <v>62</v>
      </c>
      <c r="C14" s="13">
        <f>0.06397*E9*C4</f>
        <v>0.0147131</v>
      </c>
      <c r="D14" s="13">
        <f>0.2362*E10*C6</f>
        <v>0.1082583333</v>
      </c>
      <c r="E14" s="13">
        <f>0.1395*1000000*F10*C8</f>
        <v>36828</v>
      </c>
      <c r="F14" s="15">
        <f t="shared" si="1"/>
        <v>0.00002715325296</v>
      </c>
      <c r="G14" s="13">
        <f>4*1000</f>
        <v>4000</v>
      </c>
      <c r="I14" s="18">
        <f>I12*(60/50)</f>
        <v>1791.959859</v>
      </c>
    </row>
    <row r="15" ht="12.0" customHeight="1">
      <c r="A15" s="1"/>
      <c r="B15" s="1" t="s">
        <v>46</v>
      </c>
      <c r="C15" s="13">
        <f>0.1102*E9*C4</f>
        <v>0.025346</v>
      </c>
      <c r="D15" s="13">
        <f>0.2526*E10*C6</f>
        <v>0.115775</v>
      </c>
      <c r="E15" s="13">
        <f>0.1508*1000000*F10*C8</f>
        <v>39811.2</v>
      </c>
      <c r="F15" s="15">
        <f t="shared" si="1"/>
        <v>0.0000251185596</v>
      </c>
      <c r="G15" s="13">
        <f>4*717</f>
        <v>2868</v>
      </c>
    </row>
    <row r="16" ht="12.0" customHeight="1">
      <c r="A16" s="1"/>
      <c r="B16" s="1" t="s">
        <v>121</v>
      </c>
      <c r="C16" s="1">
        <f>0.08831*E9</f>
        <v>0.0812452</v>
      </c>
      <c r="D16" s="13">
        <f>0.2441*E10</f>
        <v>0.2034166667</v>
      </c>
      <c r="E16" s="13">
        <f> 0.1455*1000000*F10</f>
        <v>174600</v>
      </c>
      <c r="F16" s="15">
        <f t="shared" si="1"/>
        <v>0.000005727376861</v>
      </c>
      <c r="G16" s="13">
        <f>824</f>
        <v>824</v>
      </c>
    </row>
    <row r="17" ht="12.0" customHeight="1">
      <c r="A17" s="1"/>
      <c r="B17" s="1" t="s">
        <v>140</v>
      </c>
      <c r="C17" s="13">
        <f>0.08831*E9*C3</f>
        <v>0.0406226</v>
      </c>
      <c r="D17" s="13">
        <f>0.2441*E10*C5</f>
        <v>0.1423916667</v>
      </c>
      <c r="E17" s="13">
        <f> 0.1455*1000000*F10*C7</f>
        <v>87300</v>
      </c>
      <c r="F17" s="15">
        <f t="shared" si="1"/>
        <v>0.00001145475372</v>
      </c>
      <c r="G17" s="13">
        <f>824*2</f>
        <v>1648</v>
      </c>
    </row>
    <row r="18" ht="12.0" customHeight="1">
      <c r="A18" s="1"/>
      <c r="B18" s="1" t="s">
        <v>241</v>
      </c>
      <c r="C18" s="13">
        <f>0.08831*E9*C4</f>
        <v>0.0203113</v>
      </c>
      <c r="D18" s="13">
        <f>0.2441*E10*C6</f>
        <v>0.1118791667</v>
      </c>
      <c r="E18" s="13">
        <f> 0.1455*1000000*F10*C8</f>
        <v>38412</v>
      </c>
      <c r="F18" s="15">
        <f t="shared" si="1"/>
        <v>0.00002603353119</v>
      </c>
      <c r="G18" s="13">
        <f>824*4</f>
        <v>3296</v>
      </c>
      <c r="I18" s="13">
        <f>LN(30.48/1.19)</f>
        <v>3.243117424</v>
      </c>
    </row>
    <row r="19" ht="12.0" customHeight="1">
      <c r="A19" s="9" t="s">
        <v>1001</v>
      </c>
      <c r="B19" s="1" t="s">
        <v>1002</v>
      </c>
      <c r="C19" s="13">
        <f>0.0968*E9*C3</f>
        <v>0.044528</v>
      </c>
      <c r="D19" s="13">
        <f>0.2618*E10*C5</f>
        <v>0.1527166667</v>
      </c>
      <c r="E19" s="13">
        <f>0.1547*1000000*F10*C7</f>
        <v>92820</v>
      </c>
      <c r="F19" s="15">
        <f t="shared" si="1"/>
        <v>0.00001077354019</v>
      </c>
      <c r="G19" s="13">
        <f>685*2</f>
        <v>1370</v>
      </c>
      <c r="I19" s="13">
        <f>LN(30.48/((1.19*30.48)^(1/2)))</f>
        <v>1.621558712</v>
      </c>
    </row>
    <row r="20" ht="12.0" customHeight="1">
      <c r="A20" s="9" t="s">
        <v>1003</v>
      </c>
      <c r="B20" s="1" t="s">
        <v>1004</v>
      </c>
      <c r="C20" s="13">
        <f> 0.07436*E9*C3</f>
        <v>0.0342056</v>
      </c>
      <c r="D20" s="13">
        <f>0.2454*E10*C5</f>
        <v>0.14315</v>
      </c>
      <c r="E20" s="13">
        <f>0.1444*1000000*F10*C7</f>
        <v>86640</v>
      </c>
      <c r="F20" s="15">
        <f t="shared" si="1"/>
        <v>0.00001154201293</v>
      </c>
      <c r="G20" s="13">
        <f>903*2</f>
        <v>1806</v>
      </c>
      <c r="I20" s="13">
        <f>LN(30.48/((1.19*30.48*30.48*sqrt(30.48))^(1/4)))</f>
        <v>1.237913197</v>
      </c>
    </row>
    <row r="21" ht="12.0" customHeight="1">
      <c r="A21" s="9" t="s">
        <v>1005</v>
      </c>
      <c r="B21" s="1" t="s">
        <v>1006</v>
      </c>
      <c r="C21" s="13">
        <f> 0.06*E9</f>
        <v>0.0552</v>
      </c>
      <c r="D21" s="13">
        <f>0.2359*E10</f>
        <v>0.1965833333</v>
      </c>
      <c r="E21" s="13">
        <f>0.1387*1000000*F10</f>
        <v>166440</v>
      </c>
      <c r="F21" s="15">
        <f t="shared" si="1"/>
        <v>0.000006008171113</v>
      </c>
      <c r="G21" s="13">
        <f>1037</f>
        <v>1037</v>
      </c>
      <c r="I21" s="13">
        <f>(1.06*45.72*45.72*sqrt(2)*45.72)^(1/4)</f>
        <v>19.45516337</v>
      </c>
    </row>
    <row r="22" ht="12.0" customHeight="1">
      <c r="A22" s="1"/>
      <c r="B22" s="1" t="s">
        <v>302</v>
      </c>
      <c r="F22" s="15"/>
      <c r="I22" s="13">
        <f>I21/100</f>
        <v>0.1945516337</v>
      </c>
    </row>
    <row r="23" ht="12.0" customHeight="1">
      <c r="A23" s="1"/>
      <c r="B23" s="1" t="s">
        <v>308</v>
      </c>
      <c r="C23" s="13">
        <f>0.1101*E9</f>
        <v>0.101292</v>
      </c>
      <c r="D23" s="13">
        <f>0.2559*E10</f>
        <v>0.21325</v>
      </c>
      <c r="E23" s="13">
        <f>0.1522*1000000*F10</f>
        <v>182640</v>
      </c>
      <c r="F23" s="15">
        <f t="shared" ref="F23:F26" si="3">1/E23</f>
        <v>0.000005475251862</v>
      </c>
      <c r="G23" s="13">
        <f>712</f>
        <v>712</v>
      </c>
    </row>
    <row r="24" ht="12.0" customHeight="1">
      <c r="A24" s="1"/>
      <c r="B24" s="1" t="s">
        <v>373</v>
      </c>
      <c r="C24" s="13">
        <f>0.2076*E9</f>
        <v>0.190992</v>
      </c>
      <c r="D24" s="13">
        <f>0.2799*E10</f>
        <v>0.23325</v>
      </c>
      <c r="E24" s="13">
        <f>0.1674*1000000*F10</f>
        <v>200880</v>
      </c>
      <c r="F24" s="15">
        <f t="shared" si="3"/>
        <v>0.000004978096376</v>
      </c>
      <c r="G24" s="13">
        <f>478</f>
        <v>478</v>
      </c>
    </row>
    <row r="25" ht="12.0" customHeight="1">
      <c r="A25" s="9" t="s">
        <v>1007</v>
      </c>
      <c r="B25" s="1" t="s">
        <v>403</v>
      </c>
      <c r="C25" s="13">
        <f>0.04557*E9</f>
        <v>0.0419244</v>
      </c>
      <c r="D25" s="13">
        <f>0.2228*E10</f>
        <v>0.1856666667</v>
      </c>
      <c r="E25" s="13">
        <f>0.131*1000000*F10</f>
        <v>157200</v>
      </c>
      <c r="F25" s="15">
        <f t="shared" si="3"/>
        <v>0.000006361323155</v>
      </c>
      <c r="G25" s="13">
        <f>1241</f>
        <v>1241</v>
      </c>
    </row>
    <row r="26" ht="12.0" customHeight="1">
      <c r="A26" s="1"/>
      <c r="B26" s="1" t="s">
        <v>505</v>
      </c>
      <c r="C26" s="13">
        <f>0.1466*E9</f>
        <v>0.134872</v>
      </c>
      <c r="D26" s="13">
        <f>0.2671*E10</f>
        <v>0.2225833333</v>
      </c>
      <c r="E26" s="13">
        <f>0.1591*1000000*F10</f>
        <v>190920</v>
      </c>
      <c r="F26" s="15">
        <f t="shared" si="3"/>
        <v>0.000005237795935</v>
      </c>
      <c r="G26" s="13">
        <f>594</f>
        <v>594</v>
      </c>
    </row>
    <row r="27" ht="12.0" customHeight="1">
      <c r="A27" s="1"/>
      <c r="B27" s="1" t="s">
        <v>581</v>
      </c>
      <c r="F27" s="15"/>
    </row>
    <row r="28" ht="12.0" customHeight="1">
      <c r="A28" s="9" t="s">
        <v>1008</v>
      </c>
      <c r="B28" s="1" t="s">
        <v>1009</v>
      </c>
      <c r="C28" s="13">
        <f>0.1466*E9</f>
        <v>0.134872</v>
      </c>
      <c r="D28" s="13">
        <f>0.2671*E10</f>
        <v>0.2225833333</v>
      </c>
      <c r="E28" s="13">
        <f>0.1591*1000000*F10</f>
        <v>190920</v>
      </c>
      <c r="F28" s="15">
        <f>1/E28</f>
        <v>0.000005237795935</v>
      </c>
      <c r="G28" s="13">
        <f>594</f>
        <v>594</v>
      </c>
    </row>
    <row r="29" ht="12.0" customHeight="1">
      <c r="A29" s="1"/>
      <c r="B29" s="1" t="s">
        <v>616</v>
      </c>
    </row>
    <row r="30" ht="12.0" customHeight="1"/>
    <row r="31" ht="24.75" customHeight="1"/>
    <row r="32" ht="12.0" customHeight="1"/>
    <row r="33" ht="12.75" customHeight="1"/>
    <row r="34" ht="20.25" customHeight="1"/>
    <row r="35" ht="36.75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75" customHeight="1"/>
    <row r="84" ht="12.0" customHeight="1"/>
    <row r="85" ht="24.75" customHeight="1"/>
    <row r="86" ht="12.0" customHeight="1"/>
    <row r="87" ht="12.0" customHeight="1"/>
    <row r="88" ht="24.75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 gridLines="1"/>
  <pageMargins bottom="1.0" footer="0.0" header="0.0" left="0.75" right="0.75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3" width="19.25"/>
    <col customWidth="1" min="4" max="4" width="11.63"/>
    <col customWidth="1" min="5" max="5" width="12.63"/>
    <col customWidth="1" min="6" max="6" width="19.13"/>
  </cols>
  <sheetData>
    <row r="1">
      <c r="A1" s="1" t="s">
        <v>0</v>
      </c>
    </row>
    <row r="2">
      <c r="A2" s="1" t="s">
        <v>1010</v>
      </c>
      <c r="B2" s="1" t="s">
        <v>27</v>
      </c>
      <c r="C2" s="1" t="s">
        <v>28</v>
      </c>
      <c r="D2" s="1" t="s">
        <v>1011</v>
      </c>
      <c r="E2" s="1" t="s">
        <v>1012</v>
      </c>
      <c r="F2" s="1" t="s">
        <v>1013</v>
      </c>
    </row>
    <row r="3">
      <c r="A3" s="1" t="s">
        <v>3</v>
      </c>
      <c r="B3" s="1" t="s">
        <v>11</v>
      </c>
      <c r="C3" s="1" t="s">
        <v>12</v>
      </c>
      <c r="D3" s="1" t="s">
        <v>35</v>
      </c>
      <c r="E3" s="1" t="s">
        <v>36</v>
      </c>
      <c r="F3" s="1" t="s">
        <v>38</v>
      </c>
    </row>
    <row r="4">
      <c r="A4" s="1" t="s">
        <v>1014</v>
      </c>
      <c r="B4" s="1" t="s">
        <v>293</v>
      </c>
      <c r="C4" s="1" t="s">
        <v>494</v>
      </c>
      <c r="E4" s="1"/>
      <c r="F4" s="1">
        <v>300.0</v>
      </c>
    </row>
    <row r="5">
      <c r="A5" s="1" t="s">
        <v>1015</v>
      </c>
      <c r="B5" s="1" t="s">
        <v>293</v>
      </c>
      <c r="C5" s="1" t="s">
        <v>494</v>
      </c>
      <c r="E5" s="1" t="s">
        <v>1016</v>
      </c>
      <c r="F5" s="1">
        <v>300.0</v>
      </c>
    </row>
    <row r="6">
      <c r="A6" s="1" t="s">
        <v>1017</v>
      </c>
      <c r="B6" s="1" t="s">
        <v>201</v>
      </c>
      <c r="C6" s="1" t="s">
        <v>641</v>
      </c>
      <c r="E6" s="1"/>
      <c r="F6" s="1">
        <v>225.0</v>
      </c>
    </row>
    <row r="7">
      <c r="A7" s="1" t="s">
        <v>1018</v>
      </c>
      <c r="B7" s="1" t="s">
        <v>201</v>
      </c>
      <c r="C7" s="1" t="s">
        <v>641</v>
      </c>
      <c r="E7" s="1"/>
      <c r="F7" s="1">
        <v>300.0</v>
      </c>
    </row>
    <row r="8">
      <c r="A8" s="1" t="s">
        <v>1019</v>
      </c>
      <c r="B8" s="1" t="s">
        <v>201</v>
      </c>
      <c r="C8" s="1" t="s">
        <v>641</v>
      </c>
      <c r="E8" s="1"/>
      <c r="F8" s="1">
        <v>300.0</v>
      </c>
    </row>
    <row r="9">
      <c r="A9" s="1" t="s">
        <v>1020</v>
      </c>
      <c r="B9" s="1" t="s">
        <v>79</v>
      </c>
      <c r="C9" s="1" t="s">
        <v>920</v>
      </c>
      <c r="E9" s="1"/>
      <c r="F9" s="1">
        <v>520.0</v>
      </c>
    </row>
    <row r="10">
      <c r="A10" s="1" t="s">
        <v>1021</v>
      </c>
      <c r="B10" s="1" t="s">
        <v>79</v>
      </c>
      <c r="C10" s="1" t="s">
        <v>920</v>
      </c>
      <c r="E10" s="1"/>
      <c r="F10" s="1">
        <v>520.0</v>
      </c>
    </row>
    <row r="11">
      <c r="A11" s="13" t="s">
        <v>1022</v>
      </c>
      <c r="B11" s="13" t="s">
        <v>87</v>
      </c>
      <c r="C11" s="1" t="s">
        <v>200</v>
      </c>
      <c r="E11" s="1"/>
      <c r="F11" s="1">
        <v>750.0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>
      <c r="A12" s="1" t="s">
        <v>1023</v>
      </c>
      <c r="B12" s="13" t="s">
        <v>87</v>
      </c>
      <c r="C12" s="1" t="s">
        <v>200</v>
      </c>
      <c r="E12" s="1"/>
      <c r="F12" s="1">
        <v>750.0</v>
      </c>
    </row>
    <row r="13">
      <c r="A13" s="1" t="s">
        <v>1024</v>
      </c>
      <c r="B13" s="13" t="s">
        <v>87</v>
      </c>
      <c r="C13" s="1" t="s">
        <v>200</v>
      </c>
      <c r="E13" s="1"/>
      <c r="F13" s="1">
        <v>750.0</v>
      </c>
    </row>
    <row r="14">
      <c r="A14" s="1" t="s">
        <v>1025</v>
      </c>
      <c r="B14" s="1" t="s">
        <v>204</v>
      </c>
      <c r="C14" s="1" t="s">
        <v>696</v>
      </c>
      <c r="E14" s="1"/>
      <c r="F14" s="1">
        <v>300.0</v>
      </c>
    </row>
    <row r="15">
      <c r="A15" s="1" t="s">
        <v>1026</v>
      </c>
      <c r="B15" s="1" t="s">
        <v>204</v>
      </c>
      <c r="C15" s="1" t="s">
        <v>696</v>
      </c>
      <c r="E15" s="1"/>
      <c r="F15" s="1">
        <v>300.0</v>
      </c>
    </row>
    <row r="16">
      <c r="A16" s="1" t="s">
        <v>1027</v>
      </c>
      <c r="B16" s="1" t="s">
        <v>204</v>
      </c>
      <c r="C16" s="1" t="s">
        <v>696</v>
      </c>
      <c r="E16" s="1"/>
      <c r="F16" s="1">
        <v>225.0</v>
      </c>
    </row>
    <row r="17">
      <c r="A17" s="1" t="s">
        <v>1028</v>
      </c>
      <c r="B17" s="1" t="s">
        <v>204</v>
      </c>
      <c r="C17" s="1" t="s">
        <v>696</v>
      </c>
      <c r="E17" s="1"/>
      <c r="F17" s="1">
        <v>225.0</v>
      </c>
    </row>
    <row r="18">
      <c r="A18" s="1" t="s">
        <v>1029</v>
      </c>
      <c r="B18" s="1" t="s">
        <v>252</v>
      </c>
      <c r="C18" s="1" t="s">
        <v>544</v>
      </c>
      <c r="E18" s="1"/>
      <c r="F18" s="1">
        <v>300.0</v>
      </c>
    </row>
    <row r="19">
      <c r="A19" s="1" t="s">
        <v>1030</v>
      </c>
      <c r="B19" s="1" t="s">
        <v>252</v>
      </c>
      <c r="C19" s="1" t="s">
        <v>544</v>
      </c>
      <c r="E19" s="1"/>
      <c r="F19" s="1">
        <v>300.0</v>
      </c>
    </row>
    <row r="20">
      <c r="A20" s="1" t="s">
        <v>1031</v>
      </c>
      <c r="B20" s="1" t="s">
        <v>101</v>
      </c>
      <c r="C20" s="1" t="s">
        <v>272</v>
      </c>
      <c r="E20" s="1"/>
      <c r="F20" s="1">
        <v>520.0</v>
      </c>
    </row>
    <row r="21">
      <c r="A21" s="1" t="s">
        <v>1032</v>
      </c>
      <c r="B21" s="1" t="s">
        <v>101</v>
      </c>
      <c r="C21" s="1" t="s">
        <v>272</v>
      </c>
      <c r="E21" s="1"/>
      <c r="F21" s="1">
        <v>520.0</v>
      </c>
    </row>
    <row r="22">
      <c r="A22" s="1" t="s">
        <v>1033</v>
      </c>
      <c r="B22" s="1" t="s">
        <v>1034</v>
      </c>
      <c r="C22" s="1" t="s">
        <v>1035</v>
      </c>
      <c r="E22" s="1"/>
      <c r="F22" s="1">
        <v>225.0</v>
      </c>
    </row>
    <row r="23">
      <c r="A23" s="1" t="s">
        <v>1036</v>
      </c>
      <c r="B23" s="1" t="s">
        <v>1034</v>
      </c>
      <c r="C23" s="1" t="s">
        <v>1035</v>
      </c>
      <c r="E23" s="1"/>
      <c r="F23" s="1">
        <v>225.0</v>
      </c>
    </row>
    <row r="24">
      <c r="A24" s="1" t="s">
        <v>1037</v>
      </c>
      <c r="B24" s="1" t="s">
        <v>1034</v>
      </c>
      <c r="C24" s="1" t="s">
        <v>1035</v>
      </c>
      <c r="E24" s="1"/>
      <c r="F24" s="1">
        <v>225.0</v>
      </c>
    </row>
    <row r="25">
      <c r="A25" s="1" t="s">
        <v>1038</v>
      </c>
      <c r="B25" s="1" t="s">
        <v>236</v>
      </c>
      <c r="C25" s="1" t="s">
        <v>461</v>
      </c>
      <c r="E25" s="1"/>
      <c r="F25" s="1">
        <v>225.0</v>
      </c>
    </row>
    <row r="26">
      <c r="A26" s="1" t="s">
        <v>1039</v>
      </c>
      <c r="B26" s="1" t="s">
        <v>236</v>
      </c>
      <c r="C26" s="1" t="s">
        <v>461</v>
      </c>
      <c r="E26" s="1"/>
      <c r="F26" s="1">
        <v>225.0</v>
      </c>
    </row>
    <row r="27">
      <c r="A27" s="1" t="s">
        <v>1040</v>
      </c>
      <c r="B27" s="1" t="s">
        <v>211</v>
      </c>
      <c r="C27" s="1" t="s">
        <v>528</v>
      </c>
      <c r="E27" s="1"/>
      <c r="F27" s="1">
        <v>300.0</v>
      </c>
    </row>
    <row r="28">
      <c r="A28" s="1" t="s">
        <v>1041</v>
      </c>
      <c r="B28" s="1" t="s">
        <v>211</v>
      </c>
      <c r="C28" s="1" t="s">
        <v>528</v>
      </c>
      <c r="E28" s="1"/>
      <c r="F28" s="1">
        <v>225.0</v>
      </c>
    </row>
    <row r="29">
      <c r="A29" s="1" t="s">
        <v>1042</v>
      </c>
      <c r="B29" s="1" t="s">
        <v>264</v>
      </c>
      <c r="C29" s="1" t="s">
        <v>515</v>
      </c>
      <c r="E29" s="1"/>
      <c r="F29" s="1">
        <v>350.0</v>
      </c>
    </row>
    <row r="30">
      <c r="A30" s="1" t="s">
        <v>1043</v>
      </c>
      <c r="B30" s="1" t="s">
        <v>264</v>
      </c>
      <c r="C30" s="1" t="s">
        <v>515</v>
      </c>
      <c r="E30" s="1"/>
      <c r="F30" s="1">
        <v>350.0</v>
      </c>
    </row>
    <row r="31">
      <c r="A31" s="1" t="s">
        <v>1044</v>
      </c>
      <c r="B31" s="1" t="s">
        <v>1045</v>
      </c>
      <c r="C31" s="1" t="s">
        <v>457</v>
      </c>
      <c r="E31" s="1"/>
      <c r="F31" s="1">
        <v>300.0</v>
      </c>
    </row>
    <row r="32">
      <c r="A32" s="1" t="s">
        <v>1046</v>
      </c>
      <c r="B32" s="1" t="s">
        <v>1045</v>
      </c>
      <c r="C32" s="1" t="s">
        <v>457</v>
      </c>
      <c r="E32" s="1"/>
      <c r="F32" s="1">
        <v>300.0</v>
      </c>
    </row>
    <row r="33">
      <c r="A33" s="1" t="s">
        <v>1047</v>
      </c>
      <c r="B33" s="1" t="s">
        <v>194</v>
      </c>
      <c r="C33" s="1" t="s">
        <v>661</v>
      </c>
      <c r="E33" s="1"/>
      <c r="F33" s="1">
        <v>225.0</v>
      </c>
    </row>
    <row r="34">
      <c r="A34" s="1" t="s">
        <v>1048</v>
      </c>
      <c r="B34" s="1" t="s">
        <v>194</v>
      </c>
      <c r="C34" s="1" t="s">
        <v>661</v>
      </c>
      <c r="E34" s="1"/>
      <c r="F34" s="1">
        <v>225.0</v>
      </c>
    </row>
    <row r="35">
      <c r="A35" s="1" t="s">
        <v>1049</v>
      </c>
      <c r="B35" s="1" t="s">
        <v>194</v>
      </c>
      <c r="C35" s="1" t="s">
        <v>661</v>
      </c>
      <c r="E35" s="1"/>
      <c r="F35" s="1">
        <v>300.0</v>
      </c>
    </row>
    <row r="36">
      <c r="A36" s="1" t="s">
        <v>1050</v>
      </c>
      <c r="B36" s="1" t="s">
        <v>1051</v>
      </c>
      <c r="C36" s="1" t="s">
        <v>1052</v>
      </c>
      <c r="E36" s="1"/>
      <c r="F36" s="1">
        <v>300.0</v>
      </c>
    </row>
    <row r="37">
      <c r="A37" s="1" t="s">
        <v>1053</v>
      </c>
      <c r="B37" s="1" t="s">
        <v>1051</v>
      </c>
      <c r="C37" s="1" t="s">
        <v>1052</v>
      </c>
      <c r="E37" s="1"/>
      <c r="F37" s="1">
        <v>300.0</v>
      </c>
    </row>
    <row r="38">
      <c r="A38" s="1" t="s">
        <v>1054</v>
      </c>
      <c r="B38" s="1" t="s">
        <v>61</v>
      </c>
      <c r="C38" s="1" t="s">
        <v>261</v>
      </c>
      <c r="E38" s="1"/>
      <c r="F38" s="1">
        <v>750.0</v>
      </c>
    </row>
    <row r="39">
      <c r="A39" s="1" t="s">
        <v>1055</v>
      </c>
      <c r="B39" s="1" t="s">
        <v>61</v>
      </c>
      <c r="C39" s="1" t="s">
        <v>646</v>
      </c>
      <c r="E39" s="1"/>
      <c r="F39" s="1">
        <v>325.0</v>
      </c>
    </row>
    <row r="40">
      <c r="A40" s="1" t="s">
        <v>1056</v>
      </c>
      <c r="B40" s="1" t="s">
        <v>61</v>
      </c>
      <c r="C40" s="1" t="s">
        <v>646</v>
      </c>
      <c r="E40" s="1"/>
      <c r="F40" s="1">
        <v>325.0</v>
      </c>
    </row>
    <row r="41">
      <c r="A41" s="1" t="s">
        <v>1057</v>
      </c>
      <c r="B41" s="1" t="s">
        <v>61</v>
      </c>
      <c r="C41" s="1" t="s">
        <v>646</v>
      </c>
      <c r="E41" s="1"/>
      <c r="F41" s="1">
        <v>325.0</v>
      </c>
    </row>
    <row r="42">
      <c r="A42" s="1" t="s">
        <v>1058</v>
      </c>
      <c r="B42" s="1" t="s">
        <v>1059</v>
      </c>
      <c r="C42" s="1" t="s">
        <v>1060</v>
      </c>
      <c r="E42" s="1"/>
      <c r="F42" s="1">
        <v>520.0</v>
      </c>
    </row>
    <row r="43">
      <c r="A43" s="1" t="s">
        <v>1061</v>
      </c>
      <c r="B43" s="1" t="s">
        <v>1059</v>
      </c>
      <c r="C43" s="1" t="s">
        <v>1060</v>
      </c>
      <c r="E43" s="1"/>
      <c r="F43" s="1">
        <v>520.0</v>
      </c>
    </row>
    <row r="44">
      <c r="A44" s="1" t="s">
        <v>1062</v>
      </c>
      <c r="B44" s="1" t="s">
        <v>60</v>
      </c>
      <c r="C44" s="1" t="s">
        <v>1063</v>
      </c>
      <c r="E44" s="1"/>
      <c r="F44" s="1">
        <v>325.0</v>
      </c>
    </row>
    <row r="45">
      <c r="A45" s="1" t="s">
        <v>1064</v>
      </c>
      <c r="B45" s="1" t="s">
        <v>60</v>
      </c>
      <c r="C45" s="1" t="s">
        <v>1063</v>
      </c>
      <c r="E45" s="1"/>
      <c r="F45" s="1">
        <v>325.0</v>
      </c>
    </row>
    <row r="46">
      <c r="A46" s="1" t="s">
        <v>1065</v>
      </c>
      <c r="B46" s="1" t="s">
        <v>53</v>
      </c>
      <c r="C46" s="1" t="s">
        <v>176</v>
      </c>
      <c r="E46" s="1"/>
      <c r="F46" s="1">
        <v>520.0</v>
      </c>
    </row>
    <row r="47">
      <c r="A47" s="1" t="s">
        <v>1066</v>
      </c>
      <c r="B47" s="1" t="s">
        <v>53</v>
      </c>
      <c r="C47" s="1" t="s">
        <v>176</v>
      </c>
      <c r="E47" s="1"/>
      <c r="F47" s="1">
        <v>520.0</v>
      </c>
    </row>
    <row r="48">
      <c r="A48" s="1" t="s">
        <v>1067</v>
      </c>
      <c r="B48" s="1" t="s">
        <v>53</v>
      </c>
      <c r="C48" s="1" t="s">
        <v>774</v>
      </c>
      <c r="E48" s="1"/>
      <c r="F48" s="1">
        <v>325.0</v>
      </c>
    </row>
    <row r="49">
      <c r="A49" s="1" t="s">
        <v>1068</v>
      </c>
      <c r="B49" s="1" t="s">
        <v>53</v>
      </c>
      <c r="C49" s="1" t="s">
        <v>774</v>
      </c>
      <c r="E49" s="1"/>
      <c r="F49" s="1">
        <v>325.0</v>
      </c>
    </row>
    <row r="50">
      <c r="A50" s="1" t="s">
        <v>1069</v>
      </c>
      <c r="B50" s="1" t="s">
        <v>53</v>
      </c>
      <c r="C50" s="1" t="s">
        <v>774</v>
      </c>
      <c r="E50" s="1"/>
      <c r="F50" s="1">
        <v>325.0</v>
      </c>
    </row>
    <row r="51">
      <c r="A51" s="9" t="s">
        <v>1070</v>
      </c>
      <c r="B51" s="9" t="s">
        <v>53</v>
      </c>
      <c r="C51" s="9" t="s">
        <v>774</v>
      </c>
      <c r="D51" s="11"/>
      <c r="E51" s="9"/>
      <c r="F51" s="9">
        <v>300.0</v>
      </c>
    </row>
    <row r="52">
      <c r="A52" s="1" t="s">
        <v>1071</v>
      </c>
      <c r="B52" s="1" t="s">
        <v>188</v>
      </c>
      <c r="C52" s="1" t="s">
        <v>928</v>
      </c>
      <c r="E52" s="1"/>
      <c r="F52" s="1">
        <v>300.0</v>
      </c>
    </row>
    <row r="53">
      <c r="A53" s="1" t="s">
        <v>1072</v>
      </c>
      <c r="B53" s="1" t="s">
        <v>188</v>
      </c>
      <c r="C53" s="1" t="s">
        <v>928</v>
      </c>
      <c r="E53" s="1"/>
      <c r="F53" s="1">
        <v>300.0</v>
      </c>
    </row>
    <row r="54">
      <c r="A54" s="1" t="s">
        <v>1073</v>
      </c>
      <c r="B54" s="1" t="s">
        <v>124</v>
      </c>
      <c r="C54" s="1" t="s">
        <v>556</v>
      </c>
      <c r="E54" s="1"/>
      <c r="F54" s="1">
        <v>225.0</v>
      </c>
    </row>
    <row r="55">
      <c r="A55" s="1" t="s">
        <v>1074</v>
      </c>
      <c r="B55" s="1" t="s">
        <v>124</v>
      </c>
      <c r="C55" s="1" t="s">
        <v>556</v>
      </c>
      <c r="E55" s="1"/>
      <c r="F55" s="1">
        <v>225.0</v>
      </c>
    </row>
    <row r="56">
      <c r="A56" s="1" t="s">
        <v>1075</v>
      </c>
      <c r="B56" s="1" t="s">
        <v>124</v>
      </c>
      <c r="C56" s="1" t="s">
        <v>556</v>
      </c>
      <c r="E56" s="1"/>
      <c r="F56" s="1">
        <v>225.0</v>
      </c>
    </row>
    <row r="57">
      <c r="A57" s="1" t="s">
        <v>1076</v>
      </c>
      <c r="B57" s="1" t="s">
        <v>119</v>
      </c>
      <c r="C57" s="1" t="s">
        <v>314</v>
      </c>
      <c r="E57" s="1"/>
      <c r="F57" s="1">
        <v>125.0</v>
      </c>
    </row>
    <row r="58">
      <c r="A58" s="1" t="s">
        <v>1077</v>
      </c>
      <c r="B58" s="1" t="s">
        <v>119</v>
      </c>
      <c r="C58" s="1" t="s">
        <v>314</v>
      </c>
      <c r="E58" s="1"/>
      <c r="F58" s="1">
        <v>125.0</v>
      </c>
    </row>
    <row r="59">
      <c r="A59" s="1" t="s">
        <v>1078</v>
      </c>
      <c r="B59" s="1" t="s">
        <v>56</v>
      </c>
      <c r="C59" s="1" t="s">
        <v>127</v>
      </c>
      <c r="E59" s="1"/>
      <c r="F59" s="1">
        <v>325.0</v>
      </c>
    </row>
    <row r="60">
      <c r="A60" s="1" t="s">
        <v>1079</v>
      </c>
      <c r="B60" s="1" t="s">
        <v>56</v>
      </c>
      <c r="C60" s="1" t="s">
        <v>127</v>
      </c>
      <c r="E60" s="1"/>
      <c r="F60" s="1">
        <v>325.0</v>
      </c>
    </row>
    <row r="61">
      <c r="A61" s="1" t="s">
        <v>1080</v>
      </c>
      <c r="B61" s="1" t="s">
        <v>127</v>
      </c>
      <c r="C61" s="1" t="s">
        <v>311</v>
      </c>
      <c r="E61" s="1"/>
      <c r="F61" s="1">
        <v>300.0</v>
      </c>
    </row>
    <row r="62">
      <c r="A62" s="1" t="s">
        <v>1081</v>
      </c>
      <c r="B62" s="1" t="s">
        <v>127</v>
      </c>
      <c r="C62" s="1" t="s">
        <v>311</v>
      </c>
      <c r="E62" s="1"/>
      <c r="F62" s="1">
        <v>300.0</v>
      </c>
    </row>
    <row r="63">
      <c r="A63" s="1" t="s">
        <v>1082</v>
      </c>
      <c r="B63" s="1" t="s">
        <v>57</v>
      </c>
      <c r="C63" s="1" t="s">
        <v>139</v>
      </c>
      <c r="E63" s="1"/>
      <c r="F63" s="1">
        <v>520.0</v>
      </c>
    </row>
    <row r="64">
      <c r="A64" s="1" t="s">
        <v>1083</v>
      </c>
      <c r="B64" s="1" t="s">
        <v>57</v>
      </c>
      <c r="C64" s="1" t="s">
        <v>139</v>
      </c>
      <c r="E64" s="1"/>
      <c r="F64" s="1">
        <v>520.0</v>
      </c>
    </row>
    <row r="65">
      <c r="A65" s="1" t="s">
        <v>1084</v>
      </c>
      <c r="B65" s="1" t="s">
        <v>139</v>
      </c>
      <c r="C65" s="1" t="s">
        <v>320</v>
      </c>
      <c r="E65" s="1"/>
      <c r="F65" s="1">
        <v>300.0</v>
      </c>
    </row>
    <row r="66">
      <c r="A66" s="1" t="s">
        <v>1085</v>
      </c>
      <c r="B66" s="1" t="s">
        <v>139</v>
      </c>
      <c r="C66" s="1" t="s">
        <v>320</v>
      </c>
      <c r="E66" s="1"/>
      <c r="F66" s="1">
        <v>300.0</v>
      </c>
    </row>
    <row r="67">
      <c r="A67" s="1" t="s">
        <v>1086</v>
      </c>
      <c r="B67" s="1" t="s">
        <v>44</v>
      </c>
      <c r="C67" s="1" t="s">
        <v>180</v>
      </c>
      <c r="E67" s="1"/>
      <c r="F67" s="1">
        <v>520.0</v>
      </c>
    </row>
    <row r="68">
      <c r="A68" s="1" t="s">
        <v>1087</v>
      </c>
      <c r="B68" s="1" t="s">
        <v>44</v>
      </c>
      <c r="C68" s="1" t="s">
        <v>180</v>
      </c>
      <c r="E68" s="1"/>
      <c r="F68" s="1">
        <v>520.0</v>
      </c>
    </row>
    <row r="69">
      <c r="A69" s="1" t="s">
        <v>1088</v>
      </c>
      <c r="B69" s="1" t="s">
        <v>44</v>
      </c>
      <c r="C69" s="1" t="s">
        <v>180</v>
      </c>
      <c r="E69" s="1"/>
      <c r="F69" s="1">
        <v>520.0</v>
      </c>
    </row>
    <row r="70">
      <c r="A70" s="1" t="s">
        <v>1089</v>
      </c>
      <c r="B70" s="1" t="s">
        <v>180</v>
      </c>
      <c r="C70" s="1" t="s">
        <v>562</v>
      </c>
      <c r="E70" s="1"/>
      <c r="F70" s="1">
        <v>225.0</v>
      </c>
    </row>
    <row r="71">
      <c r="A71" s="1" t="s">
        <v>1090</v>
      </c>
      <c r="B71" s="1" t="s">
        <v>180</v>
      </c>
      <c r="C71" s="1" t="s">
        <v>562</v>
      </c>
      <c r="E71" s="1"/>
      <c r="F71" s="1">
        <v>225.0</v>
      </c>
    </row>
    <row r="72">
      <c r="A72" s="1" t="s">
        <v>1091</v>
      </c>
      <c r="B72" s="1" t="s">
        <v>180</v>
      </c>
      <c r="C72" s="1" t="s">
        <v>562</v>
      </c>
      <c r="E72" s="1"/>
      <c r="F72" s="1">
        <v>225.0</v>
      </c>
    </row>
    <row r="73">
      <c r="A73" s="1" t="s">
        <v>1092</v>
      </c>
      <c r="B73" s="1" t="s">
        <v>183</v>
      </c>
      <c r="C73" s="1" t="s">
        <v>571</v>
      </c>
      <c r="E73" s="1"/>
      <c r="F73" s="1">
        <v>300.0</v>
      </c>
    </row>
    <row r="74">
      <c r="A74" s="1" t="s">
        <v>1093</v>
      </c>
      <c r="B74" s="1" t="s">
        <v>183</v>
      </c>
      <c r="C74" s="1" t="s">
        <v>571</v>
      </c>
      <c r="E74" s="1"/>
      <c r="F74" s="1">
        <v>300.0</v>
      </c>
    </row>
    <row r="75">
      <c r="A75" s="1" t="s">
        <v>1094</v>
      </c>
      <c r="B75" s="1" t="s">
        <v>183</v>
      </c>
      <c r="C75" s="1" t="s">
        <v>571</v>
      </c>
      <c r="E75" s="1"/>
      <c r="F75" s="1">
        <v>300.0</v>
      </c>
    </row>
    <row r="76">
      <c r="A76" s="1" t="s">
        <v>1095</v>
      </c>
      <c r="B76" s="1" t="s">
        <v>225</v>
      </c>
      <c r="C76" s="1" t="s">
        <v>748</v>
      </c>
      <c r="E76" s="1"/>
      <c r="F76" s="1">
        <v>300.0</v>
      </c>
    </row>
    <row r="77">
      <c r="A77" s="1" t="s">
        <v>1096</v>
      </c>
      <c r="B77" s="1" t="s">
        <v>225</v>
      </c>
      <c r="C77" s="1" t="s">
        <v>748</v>
      </c>
      <c r="E77" s="1"/>
      <c r="F77" s="1">
        <v>300.0</v>
      </c>
    </row>
    <row r="78">
      <c r="A78" s="1" t="s">
        <v>1097</v>
      </c>
      <c r="B78" s="1" t="s">
        <v>143</v>
      </c>
      <c r="C78" s="1" t="s">
        <v>615</v>
      </c>
      <c r="E78" s="1"/>
      <c r="F78" s="1">
        <v>450.0</v>
      </c>
    </row>
    <row r="79">
      <c r="A79" s="1" t="s">
        <v>1098</v>
      </c>
      <c r="B79" s="1" t="s">
        <v>143</v>
      </c>
      <c r="C79" s="1" t="s">
        <v>615</v>
      </c>
      <c r="E79" s="1"/>
      <c r="F79" s="1">
        <v>450.0</v>
      </c>
    </row>
    <row r="80">
      <c r="A80" s="1" t="s">
        <v>1099</v>
      </c>
      <c r="B80" s="1" t="s">
        <v>143</v>
      </c>
      <c r="C80" s="1" t="s">
        <v>615</v>
      </c>
      <c r="E80" s="1"/>
      <c r="F80" s="1">
        <v>450.0</v>
      </c>
    </row>
    <row r="81">
      <c r="A81" s="1" t="s">
        <v>1100</v>
      </c>
      <c r="B81" s="1" t="s">
        <v>229</v>
      </c>
      <c r="C81" s="1" t="s">
        <v>600</v>
      </c>
      <c r="E81" s="1"/>
      <c r="F81" s="1">
        <v>300.0</v>
      </c>
    </row>
    <row r="82">
      <c r="A82" s="1" t="s">
        <v>1101</v>
      </c>
      <c r="B82" s="1" t="s">
        <v>229</v>
      </c>
      <c r="C82" s="1" t="s">
        <v>600</v>
      </c>
      <c r="E82" s="1"/>
      <c r="F82" s="1">
        <v>300.0</v>
      </c>
    </row>
    <row r="83">
      <c r="A83" s="1" t="s">
        <v>1102</v>
      </c>
      <c r="B83" s="1" t="s">
        <v>155</v>
      </c>
      <c r="C83" s="1" t="s">
        <v>577</v>
      </c>
      <c r="E83" s="1"/>
      <c r="F83" s="1">
        <v>225.0</v>
      </c>
    </row>
    <row r="84">
      <c r="A84" s="1" t="s">
        <v>1103</v>
      </c>
      <c r="B84" s="1" t="s">
        <v>155</v>
      </c>
      <c r="C84" s="1" t="s">
        <v>577</v>
      </c>
      <c r="E84" s="1"/>
      <c r="F84" s="1">
        <v>225.0</v>
      </c>
    </row>
    <row r="85">
      <c r="A85" s="1" t="s">
        <v>1104</v>
      </c>
      <c r="B85" s="1" t="s">
        <v>155</v>
      </c>
      <c r="C85" s="1" t="s">
        <v>577</v>
      </c>
      <c r="E85" s="1"/>
      <c r="F85" s="1">
        <v>225.0</v>
      </c>
    </row>
    <row r="86">
      <c r="A86" s="1" t="s">
        <v>1105</v>
      </c>
      <c r="B86" s="1" t="s">
        <v>152</v>
      </c>
      <c r="C86" s="1" t="s">
        <v>590</v>
      </c>
      <c r="E86" s="1"/>
      <c r="F86" s="1">
        <v>300.0</v>
      </c>
    </row>
    <row r="87">
      <c r="A87" s="1" t="s">
        <v>1106</v>
      </c>
      <c r="B87" s="1" t="s">
        <v>152</v>
      </c>
      <c r="C87" s="1" t="s">
        <v>590</v>
      </c>
      <c r="E87" s="1"/>
      <c r="F87" s="1">
        <v>300.0</v>
      </c>
    </row>
    <row r="88">
      <c r="A88" s="1" t="s">
        <v>1107</v>
      </c>
      <c r="B88" s="1" t="s">
        <v>228</v>
      </c>
      <c r="C88" s="1" t="s">
        <v>325</v>
      </c>
      <c r="E88" s="1"/>
      <c r="F88" s="1">
        <v>300.0</v>
      </c>
    </row>
    <row r="89">
      <c r="A89" s="1" t="s">
        <v>1108</v>
      </c>
      <c r="B89" s="1" t="s">
        <v>228</v>
      </c>
      <c r="C89" s="1" t="s">
        <v>325</v>
      </c>
      <c r="E89" s="1"/>
      <c r="F89" s="1">
        <v>300.0</v>
      </c>
    </row>
    <row r="90">
      <c r="A90" s="1" t="s">
        <v>1109</v>
      </c>
      <c r="B90" s="1" t="s">
        <v>146</v>
      </c>
      <c r="C90" s="1" t="s">
        <v>368</v>
      </c>
      <c r="E90" s="1"/>
      <c r="F90" s="1">
        <v>225.0</v>
      </c>
    </row>
    <row r="91">
      <c r="A91" s="1" t="s">
        <v>1110</v>
      </c>
      <c r="B91" s="1" t="s">
        <v>146</v>
      </c>
      <c r="C91" s="1" t="s">
        <v>368</v>
      </c>
      <c r="E91" s="1"/>
      <c r="F91" s="1">
        <v>225.0</v>
      </c>
    </row>
    <row r="92">
      <c r="A92" s="1" t="s">
        <v>1111</v>
      </c>
      <c r="B92" s="1" t="s">
        <v>146</v>
      </c>
      <c r="C92" s="1" t="s">
        <v>368</v>
      </c>
      <c r="E92" s="1"/>
      <c r="F92" s="1">
        <v>225.0</v>
      </c>
    </row>
    <row r="93">
      <c r="A93" s="1" t="s">
        <v>1112</v>
      </c>
      <c r="B93" s="1" t="s">
        <v>45</v>
      </c>
      <c r="C93" s="1" t="s">
        <v>149</v>
      </c>
      <c r="E93" s="1"/>
      <c r="F93" s="1">
        <v>750.0</v>
      </c>
    </row>
    <row r="94">
      <c r="A94" s="1" t="s">
        <v>1113</v>
      </c>
      <c r="B94" s="1" t="s">
        <v>45</v>
      </c>
      <c r="C94" s="1" t="s">
        <v>149</v>
      </c>
      <c r="E94" s="1"/>
      <c r="F94" s="1">
        <v>750.0</v>
      </c>
    </row>
    <row r="95">
      <c r="A95" s="1" t="s">
        <v>1114</v>
      </c>
      <c r="B95" s="1" t="s">
        <v>45</v>
      </c>
      <c r="C95" s="1" t="s">
        <v>149</v>
      </c>
      <c r="E95" s="1"/>
      <c r="F95" s="1">
        <v>750.0</v>
      </c>
    </row>
    <row r="96">
      <c r="A96" s="1" t="s">
        <v>1115</v>
      </c>
      <c r="B96" s="1" t="s">
        <v>52</v>
      </c>
      <c r="C96" s="1" t="s">
        <v>217</v>
      </c>
      <c r="E96" s="1"/>
      <c r="F96" s="1">
        <v>520.0</v>
      </c>
    </row>
    <row r="97">
      <c r="A97" s="1" t="s">
        <v>1116</v>
      </c>
      <c r="B97" s="1" t="s">
        <v>52</v>
      </c>
      <c r="C97" s="1" t="s">
        <v>217</v>
      </c>
      <c r="E97" s="1"/>
      <c r="F97" s="1">
        <v>520.0</v>
      </c>
    </row>
    <row r="98">
      <c r="A98" s="1" t="s">
        <v>1117</v>
      </c>
      <c r="B98" s="1" t="s">
        <v>216</v>
      </c>
      <c r="C98" s="1" t="s">
        <v>331</v>
      </c>
      <c r="E98" s="1"/>
      <c r="F98" s="1">
        <v>300.0</v>
      </c>
    </row>
    <row r="99">
      <c r="A99" s="1" t="s">
        <v>1118</v>
      </c>
      <c r="B99" s="1" t="s">
        <v>216</v>
      </c>
      <c r="C99" s="1" t="s">
        <v>331</v>
      </c>
      <c r="E99" s="1"/>
      <c r="F99" s="1">
        <v>300.0</v>
      </c>
    </row>
    <row r="100">
      <c r="A100" s="1" t="s">
        <v>1119</v>
      </c>
      <c r="B100" s="1" t="s">
        <v>135</v>
      </c>
      <c r="C100" s="1" t="s">
        <v>356</v>
      </c>
      <c r="E100" s="1"/>
      <c r="F100" s="1">
        <v>225.0</v>
      </c>
    </row>
    <row r="101">
      <c r="A101" s="1" t="s">
        <v>1120</v>
      </c>
      <c r="B101" s="1" t="s">
        <v>135</v>
      </c>
      <c r="C101" s="1" t="s">
        <v>356</v>
      </c>
      <c r="E101" s="1"/>
      <c r="F101" s="1">
        <v>225.0</v>
      </c>
    </row>
    <row r="102">
      <c r="A102" s="1" t="s">
        <v>1121</v>
      </c>
      <c r="B102" s="1" t="s">
        <v>135</v>
      </c>
      <c r="C102" s="1" t="s">
        <v>356</v>
      </c>
      <c r="E102" s="1"/>
      <c r="F102" s="1">
        <v>225.0</v>
      </c>
    </row>
    <row r="103">
      <c r="A103" s="1" t="s">
        <v>1122</v>
      </c>
      <c r="B103" s="1" t="s">
        <v>1123</v>
      </c>
      <c r="C103" s="1" t="s">
        <v>355</v>
      </c>
      <c r="E103" s="1"/>
      <c r="F103" s="1">
        <v>300.0</v>
      </c>
    </row>
    <row r="104">
      <c r="A104" s="1" t="s">
        <v>1124</v>
      </c>
      <c r="B104" s="1" t="s">
        <v>1123</v>
      </c>
      <c r="C104" s="1" t="s">
        <v>355</v>
      </c>
      <c r="E104" s="1"/>
      <c r="F104" s="1">
        <v>300.0</v>
      </c>
    </row>
    <row r="105">
      <c r="A105" s="1" t="s">
        <v>1125</v>
      </c>
      <c r="B105" s="1" t="s">
        <v>285</v>
      </c>
      <c r="C105" s="1" t="s">
        <v>371</v>
      </c>
      <c r="E105" s="1"/>
      <c r="F105" s="1">
        <v>350.0</v>
      </c>
    </row>
    <row r="106">
      <c r="A106" s="1" t="s">
        <v>1126</v>
      </c>
      <c r="B106" s="1" t="s">
        <v>285</v>
      </c>
      <c r="C106" s="1" t="s">
        <v>371</v>
      </c>
      <c r="E106" s="1"/>
      <c r="F106" s="1">
        <v>350.0</v>
      </c>
    </row>
    <row r="107">
      <c r="A107" s="1" t="s">
        <v>1126</v>
      </c>
      <c r="B107" s="1" t="s">
        <v>131</v>
      </c>
      <c r="C107" s="1" t="s">
        <v>349</v>
      </c>
      <c r="E107" s="1"/>
      <c r="F107" s="1">
        <v>150.0</v>
      </c>
    </row>
    <row r="108">
      <c r="A108" s="1" t="s">
        <v>1127</v>
      </c>
      <c r="B108" s="1" t="s">
        <v>131</v>
      </c>
      <c r="C108" s="1" t="s">
        <v>349</v>
      </c>
      <c r="E108" s="1"/>
      <c r="F108" s="1">
        <v>150.0</v>
      </c>
    </row>
    <row r="109">
      <c r="A109" s="1" t="s">
        <v>1128</v>
      </c>
      <c r="B109" s="1" t="s">
        <v>131</v>
      </c>
      <c r="C109" s="1" t="s">
        <v>349</v>
      </c>
      <c r="E109" s="1"/>
      <c r="F109" s="1">
        <v>150.0</v>
      </c>
    </row>
    <row r="110">
      <c r="A110" s="1" t="s">
        <v>1129</v>
      </c>
      <c r="B110" s="1" t="s">
        <v>131</v>
      </c>
      <c r="C110" s="1" t="s">
        <v>349</v>
      </c>
      <c r="E110" s="1"/>
      <c r="F110" s="1">
        <v>150.0</v>
      </c>
    </row>
    <row r="111">
      <c r="A111" s="1" t="s">
        <v>1130</v>
      </c>
      <c r="B111" s="1" t="s">
        <v>96</v>
      </c>
      <c r="C111" s="1" t="s">
        <v>279</v>
      </c>
      <c r="E111" s="1"/>
      <c r="F111" s="1">
        <v>1000.0</v>
      </c>
    </row>
    <row r="112">
      <c r="A112" s="1" t="s">
        <v>1131</v>
      </c>
      <c r="B112" s="1" t="s">
        <v>96</v>
      </c>
      <c r="C112" s="1" t="s">
        <v>279</v>
      </c>
      <c r="E112" s="1"/>
      <c r="F112" s="1">
        <v>1000.0</v>
      </c>
    </row>
    <row r="113">
      <c r="A113" s="1" t="s">
        <v>1132</v>
      </c>
      <c r="B113" s="1" t="s">
        <v>280</v>
      </c>
      <c r="C113" s="1" t="s">
        <v>433</v>
      </c>
      <c r="E113" s="1"/>
      <c r="F113" s="1">
        <v>350.0</v>
      </c>
    </row>
    <row r="114">
      <c r="A114" s="1" t="s">
        <v>1133</v>
      </c>
      <c r="B114" s="1" t="s">
        <v>280</v>
      </c>
      <c r="C114" s="1" t="s">
        <v>433</v>
      </c>
      <c r="E114" s="1"/>
      <c r="F114" s="1">
        <v>350.0</v>
      </c>
    </row>
    <row r="115">
      <c r="A115" s="1" t="s">
        <v>1134</v>
      </c>
      <c r="B115" s="1" t="s">
        <v>76</v>
      </c>
      <c r="C115" s="1" t="s">
        <v>255</v>
      </c>
      <c r="E115" s="1"/>
      <c r="F115" s="1">
        <v>750.0</v>
      </c>
    </row>
    <row r="116">
      <c r="A116" s="1" t="s">
        <v>1135</v>
      </c>
      <c r="B116" s="1" t="s">
        <v>76</v>
      </c>
      <c r="C116" s="1" t="s">
        <v>255</v>
      </c>
      <c r="E116" s="1"/>
      <c r="F116" s="1">
        <v>750.0</v>
      </c>
    </row>
    <row r="117">
      <c r="A117" s="1" t="s">
        <v>1136</v>
      </c>
      <c r="B117" s="1" t="s">
        <v>76</v>
      </c>
      <c r="C117" s="1" t="s">
        <v>255</v>
      </c>
      <c r="E117" s="1"/>
      <c r="F117" s="1">
        <v>750.0</v>
      </c>
    </row>
    <row r="118">
      <c r="A118" s="1" t="s">
        <v>1137</v>
      </c>
      <c r="B118" s="1" t="s">
        <v>269</v>
      </c>
      <c r="C118" s="1" t="s">
        <v>390</v>
      </c>
      <c r="E118" s="1"/>
      <c r="F118" s="1">
        <v>300.0</v>
      </c>
    </row>
    <row r="119">
      <c r="A119" s="1" t="s">
        <v>1138</v>
      </c>
      <c r="B119" s="1" t="s">
        <v>269</v>
      </c>
      <c r="C119" s="1" t="s">
        <v>390</v>
      </c>
      <c r="E119" s="1"/>
      <c r="F119" s="1">
        <v>300.0</v>
      </c>
    </row>
    <row r="120">
      <c r="A120" s="1" t="s">
        <v>1139</v>
      </c>
      <c r="B120" s="1" t="s">
        <v>269</v>
      </c>
      <c r="C120" s="1" t="s">
        <v>390</v>
      </c>
      <c r="E120" s="1"/>
      <c r="F120" s="1">
        <v>300.0</v>
      </c>
    </row>
    <row r="121">
      <c r="A121" s="1" t="s">
        <v>1140</v>
      </c>
      <c r="B121" s="1" t="s">
        <v>244</v>
      </c>
      <c r="C121" s="1" t="s">
        <v>391</v>
      </c>
      <c r="E121" s="1"/>
      <c r="F121" s="1">
        <v>300.0</v>
      </c>
    </row>
    <row r="122">
      <c r="A122" s="1" t="s">
        <v>1141</v>
      </c>
      <c r="B122" s="1" t="s">
        <v>244</v>
      </c>
      <c r="C122" s="1" t="s">
        <v>391</v>
      </c>
      <c r="E122" s="1"/>
      <c r="F122" s="1">
        <v>300.0</v>
      </c>
    </row>
    <row r="123">
      <c r="A123" s="1" t="s">
        <v>1142</v>
      </c>
      <c r="B123" s="1" t="s">
        <v>1143</v>
      </c>
      <c r="C123" s="1" t="s">
        <v>691</v>
      </c>
      <c r="E123" s="1"/>
      <c r="F123" s="1">
        <v>300.0</v>
      </c>
    </row>
    <row r="124">
      <c r="A124" s="1" t="s">
        <v>1144</v>
      </c>
      <c r="B124" s="1" t="s">
        <v>1143</v>
      </c>
      <c r="C124" s="1" t="s">
        <v>691</v>
      </c>
      <c r="E124" s="1"/>
      <c r="F124" s="1">
        <v>300.0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3" width="15.13"/>
    <col customWidth="1" min="4" max="4" width="15.25"/>
    <col customWidth="1" min="5" max="5" width="18.0"/>
  </cols>
  <sheetData>
    <row r="1">
      <c r="A1" s="1" t="s">
        <v>0</v>
      </c>
      <c r="B1" s="1"/>
      <c r="C1" s="1"/>
    </row>
    <row r="2">
      <c r="A2" s="1" t="s">
        <v>1145</v>
      </c>
      <c r="B2" s="1" t="s">
        <v>1146</v>
      </c>
      <c r="C2" s="1" t="s">
        <v>1147</v>
      </c>
      <c r="D2" s="1" t="s">
        <v>1148</v>
      </c>
      <c r="E2" s="1" t="s">
        <v>1149</v>
      </c>
    </row>
    <row r="3">
      <c r="A3" s="1" t="s">
        <v>3</v>
      </c>
      <c r="B3" s="1" t="s">
        <v>1150</v>
      </c>
      <c r="D3" s="1" t="s">
        <v>1151</v>
      </c>
      <c r="E3" s="1" t="s">
        <v>1152</v>
      </c>
    </row>
    <row r="4">
      <c r="A4" s="1" t="s">
        <v>1153</v>
      </c>
      <c r="B4" s="1"/>
      <c r="C4" s="1">
        <v>150.0</v>
      </c>
    </row>
    <row r="5">
      <c r="A5" s="1" t="s">
        <v>1154</v>
      </c>
      <c r="B5" s="1"/>
      <c r="C5" s="1">
        <v>150.0</v>
      </c>
    </row>
    <row r="6">
      <c r="A6" s="1" t="s">
        <v>1155</v>
      </c>
      <c r="B6" s="1"/>
      <c r="C6" s="1">
        <v>80.0</v>
      </c>
    </row>
    <row r="7">
      <c r="A7" s="1" t="s">
        <v>1156</v>
      </c>
      <c r="B7" s="1"/>
      <c r="C7" s="1">
        <v>140.0</v>
      </c>
    </row>
    <row r="8">
      <c r="A8" s="1" t="s">
        <v>1157</v>
      </c>
      <c r="B8" s="1"/>
      <c r="C8" s="1">
        <v>140.0</v>
      </c>
    </row>
    <row r="9">
      <c r="A9" s="1" t="s">
        <v>1158</v>
      </c>
      <c r="B9" s="1"/>
      <c r="C9" s="1">
        <v>140.0</v>
      </c>
      <c r="I9" s="13">
        <f>190+5+2</f>
        <v>197</v>
      </c>
    </row>
    <row r="10">
      <c r="A10" s="1" t="s">
        <v>1159</v>
      </c>
      <c r="B10" s="1"/>
      <c r="C10" s="1">
        <v>60.0</v>
      </c>
    </row>
    <row r="11">
      <c r="A11" s="1" t="s">
        <v>1160</v>
      </c>
      <c r="B11" s="1"/>
      <c r="C11" s="1">
        <v>125.0</v>
      </c>
    </row>
    <row r="12">
      <c r="A12" s="1" t="s">
        <v>1161</v>
      </c>
      <c r="B12" s="1"/>
      <c r="C12" s="1">
        <v>125.0</v>
      </c>
    </row>
    <row r="13">
      <c r="A13" s="1" t="s">
        <v>1162</v>
      </c>
      <c r="B13" s="1"/>
      <c r="C13" s="1">
        <v>140.0</v>
      </c>
    </row>
    <row r="14">
      <c r="A14" s="1" t="s">
        <v>1163</v>
      </c>
      <c r="B14" s="20"/>
      <c r="C14" s="20">
        <v>120.0</v>
      </c>
    </row>
    <row r="15">
      <c r="A15" s="1" t="s">
        <v>1164</v>
      </c>
      <c r="B15" s="20"/>
      <c r="C15" s="20">
        <v>120.0</v>
      </c>
    </row>
    <row r="16">
      <c r="A16" s="1" t="s">
        <v>1165</v>
      </c>
      <c r="B16" s="1"/>
      <c r="C16" s="1">
        <v>120.0</v>
      </c>
    </row>
    <row r="17">
      <c r="A17" s="1" t="s">
        <v>1166</v>
      </c>
      <c r="B17" s="1"/>
      <c r="C17" s="1">
        <v>120.0</v>
      </c>
    </row>
    <row r="18">
      <c r="A18" s="1" t="s">
        <v>1167</v>
      </c>
      <c r="B18" s="1"/>
      <c r="C18" s="1">
        <v>120.0</v>
      </c>
    </row>
    <row r="19">
      <c r="A19" s="1" t="s">
        <v>1168</v>
      </c>
      <c r="B19" s="1"/>
      <c r="C19" s="1">
        <v>120.0</v>
      </c>
    </row>
    <row r="20">
      <c r="A20" s="1" t="s">
        <v>1169</v>
      </c>
      <c r="B20" s="1"/>
      <c r="C20" s="1">
        <v>80.0</v>
      </c>
    </row>
    <row r="21">
      <c r="A21" s="1" t="s">
        <v>1170</v>
      </c>
      <c r="B21" s="1"/>
      <c r="C21" s="1">
        <v>50.0</v>
      </c>
    </row>
    <row r="22">
      <c r="A22" s="1" t="s">
        <v>1171</v>
      </c>
      <c r="B22" s="1"/>
      <c r="C22" s="1">
        <v>50.0</v>
      </c>
    </row>
    <row r="23">
      <c r="A23" s="1" t="s">
        <v>1172</v>
      </c>
      <c r="B23" s="1"/>
      <c r="C23" s="1">
        <v>50.0</v>
      </c>
    </row>
    <row r="24">
      <c r="A24" s="1" t="s">
        <v>1173</v>
      </c>
      <c r="B24" s="1"/>
      <c r="C24" s="1">
        <v>75.0</v>
      </c>
    </row>
    <row r="25">
      <c r="A25" s="1" t="s">
        <v>1174</v>
      </c>
      <c r="B25" s="1"/>
      <c r="C25" s="1">
        <v>41.0</v>
      </c>
    </row>
    <row r="26">
      <c r="A26" s="1" t="s">
        <v>1175</v>
      </c>
      <c r="B26" s="1"/>
      <c r="C26" s="1">
        <v>41.0</v>
      </c>
    </row>
    <row r="27">
      <c r="A27" s="1" t="s">
        <v>1176</v>
      </c>
      <c r="B27" s="1"/>
      <c r="C27" s="1">
        <v>41.0</v>
      </c>
    </row>
    <row r="28">
      <c r="A28" s="1" t="s">
        <v>1177</v>
      </c>
      <c r="B28" s="1"/>
      <c r="C28" s="1">
        <v>75.0</v>
      </c>
    </row>
    <row r="29">
      <c r="A29" s="1" t="s">
        <v>1178</v>
      </c>
      <c r="B29" s="1"/>
      <c r="C29" s="1">
        <v>120.0</v>
      </c>
    </row>
    <row r="30">
      <c r="A30" s="1" t="s">
        <v>1179</v>
      </c>
      <c r="B30" s="1"/>
      <c r="C30" s="1">
        <v>120.0</v>
      </c>
    </row>
    <row r="31">
      <c r="A31" s="1" t="s">
        <v>1180</v>
      </c>
      <c r="B31" s="1"/>
      <c r="C31" s="1">
        <v>41.0</v>
      </c>
    </row>
    <row r="32">
      <c r="A32" s="1" t="s">
        <v>1181</v>
      </c>
      <c r="B32" s="1"/>
      <c r="C32" s="1">
        <v>64.0</v>
      </c>
    </row>
    <row r="33">
      <c r="A33" s="1" t="s">
        <v>1182</v>
      </c>
      <c r="B33" s="1"/>
      <c r="C33" s="1">
        <v>64.0</v>
      </c>
    </row>
    <row r="34">
      <c r="A34" s="1" t="s">
        <v>1183</v>
      </c>
      <c r="B34" s="1"/>
      <c r="C34" s="1">
        <v>75.0</v>
      </c>
    </row>
    <row r="35">
      <c r="A35" s="1" t="s">
        <v>1184</v>
      </c>
      <c r="B35" s="1"/>
      <c r="C35" s="1">
        <v>75.0</v>
      </c>
    </row>
    <row r="36">
      <c r="A36" s="1" t="s">
        <v>1185</v>
      </c>
      <c r="B36" s="1"/>
      <c r="C36" s="1">
        <v>120.0</v>
      </c>
    </row>
    <row r="37">
      <c r="A37" s="1" t="s">
        <v>1186</v>
      </c>
      <c r="B37" s="1"/>
      <c r="C37" s="1">
        <v>120.0</v>
      </c>
    </row>
    <row r="38">
      <c r="A38" s="1" t="s">
        <v>1187</v>
      </c>
      <c r="B38" s="1"/>
      <c r="C38" s="1">
        <v>120.0</v>
      </c>
    </row>
    <row r="39">
      <c r="A39" s="1" t="s">
        <v>1188</v>
      </c>
      <c r="B39" s="1"/>
      <c r="C39" s="1">
        <v>35.0</v>
      </c>
    </row>
    <row r="40">
      <c r="A40" s="1" t="s">
        <v>1189</v>
      </c>
      <c r="B40" s="1"/>
      <c r="C40" s="1">
        <v>41.0</v>
      </c>
    </row>
    <row r="41">
      <c r="A41" s="1" t="s">
        <v>1190</v>
      </c>
      <c r="B41" s="1"/>
      <c r="C41" s="1">
        <v>41.0</v>
      </c>
    </row>
    <row r="42">
      <c r="A42" s="1" t="s">
        <v>1191</v>
      </c>
      <c r="B42" s="1"/>
      <c r="C42" s="1">
        <v>75.0</v>
      </c>
    </row>
    <row r="43">
      <c r="A43" s="1" t="s">
        <v>1192</v>
      </c>
      <c r="B43" s="1"/>
      <c r="C43" s="1">
        <v>75.0</v>
      </c>
    </row>
    <row r="44">
      <c r="A44" s="1" t="s">
        <v>1193</v>
      </c>
      <c r="B44" s="1"/>
      <c r="C44" s="1">
        <v>75.0</v>
      </c>
    </row>
    <row r="45">
      <c r="A45" s="1" t="s">
        <v>1194</v>
      </c>
      <c r="B45" s="1"/>
      <c r="C45" s="1">
        <v>75.0</v>
      </c>
    </row>
    <row r="46">
      <c r="A46" s="1" t="s">
        <v>1195</v>
      </c>
      <c r="B46" s="1"/>
      <c r="C46" s="1">
        <v>120.0</v>
      </c>
    </row>
    <row r="47">
      <c r="A47" s="1" t="s">
        <v>1196</v>
      </c>
      <c r="B47" s="1"/>
      <c r="C47" s="1">
        <v>120.0</v>
      </c>
    </row>
    <row r="48">
      <c r="A48" s="1" t="s">
        <v>1197</v>
      </c>
      <c r="B48" s="1"/>
      <c r="C48" s="1">
        <v>120.0</v>
      </c>
    </row>
    <row r="49">
      <c r="A49" s="1" t="s">
        <v>1198</v>
      </c>
      <c r="B49" s="1"/>
      <c r="C49" s="1">
        <v>120.0</v>
      </c>
    </row>
    <row r="50">
      <c r="A50" s="1" t="s">
        <v>1199</v>
      </c>
      <c r="B50" s="1"/>
      <c r="C50" s="1">
        <v>120.0</v>
      </c>
    </row>
    <row r="51">
      <c r="A51" s="1" t="s">
        <v>1200</v>
      </c>
      <c r="B51" s="1"/>
      <c r="C51" s="1">
        <v>30.0</v>
      </c>
    </row>
    <row r="52">
      <c r="A52" s="1" t="s">
        <v>1201</v>
      </c>
      <c r="B52" s="1"/>
      <c r="C52" s="1">
        <v>75.0</v>
      </c>
    </row>
    <row r="53">
      <c r="A53" s="1" t="s">
        <v>1202</v>
      </c>
      <c r="B53" s="1"/>
      <c r="C53" s="1">
        <v>75.0</v>
      </c>
    </row>
    <row r="54">
      <c r="A54" s="1" t="s">
        <v>1203</v>
      </c>
      <c r="B54" s="1"/>
      <c r="C54" s="1">
        <v>120.0</v>
      </c>
    </row>
    <row r="55">
      <c r="A55" s="1" t="s">
        <v>1204</v>
      </c>
      <c r="B55" s="1"/>
      <c r="C55" s="1">
        <v>120.0</v>
      </c>
    </row>
    <row r="56">
      <c r="A56" s="1" t="s">
        <v>1205</v>
      </c>
      <c r="B56" s="1"/>
      <c r="C56" s="1">
        <v>120.0</v>
      </c>
    </row>
    <row r="57">
      <c r="A57" s="1" t="s">
        <v>1206</v>
      </c>
      <c r="B57" s="1"/>
      <c r="C57" s="1">
        <v>35.0</v>
      </c>
    </row>
    <row r="58">
      <c r="A58" s="13" t="s">
        <v>1207</v>
      </c>
      <c r="B58" s="1"/>
      <c r="C58" s="1">
        <v>75.0</v>
      </c>
    </row>
    <row r="59">
      <c r="A59" s="13" t="s">
        <v>1208</v>
      </c>
      <c r="B59" s="1"/>
      <c r="C59" s="1">
        <v>75.0</v>
      </c>
    </row>
    <row r="60">
      <c r="A60" s="13" t="s">
        <v>1209</v>
      </c>
      <c r="B60" s="1"/>
      <c r="C60" s="1">
        <v>75.0</v>
      </c>
    </row>
    <row r="61">
      <c r="A61" s="13" t="s">
        <v>1210</v>
      </c>
      <c r="B61" s="1"/>
      <c r="C61" s="1">
        <v>75.0</v>
      </c>
    </row>
    <row r="62">
      <c r="A62" s="13" t="s">
        <v>1211</v>
      </c>
      <c r="B62" s="1"/>
      <c r="C62" s="1">
        <v>120.0</v>
      </c>
    </row>
    <row r="63">
      <c r="A63" s="13" t="s">
        <v>1212</v>
      </c>
      <c r="B63" s="1"/>
      <c r="C63" s="1">
        <v>120.0</v>
      </c>
    </row>
    <row r="64">
      <c r="A64" s="13" t="s">
        <v>1213</v>
      </c>
      <c r="B64" s="1"/>
      <c r="C64" s="1">
        <v>41.0</v>
      </c>
    </row>
    <row r="65">
      <c r="A65" s="13" t="s">
        <v>1214</v>
      </c>
      <c r="B65" s="1"/>
      <c r="C65" s="1">
        <v>75.0</v>
      </c>
    </row>
    <row r="66">
      <c r="A66" s="13" t="s">
        <v>1215</v>
      </c>
      <c r="B66" s="1"/>
      <c r="C66" s="1">
        <v>75.0</v>
      </c>
    </row>
    <row r="67">
      <c r="A67" s="13" t="s">
        <v>1216</v>
      </c>
      <c r="B67" s="1"/>
      <c r="C67" s="1">
        <v>75.0</v>
      </c>
    </row>
    <row r="68">
      <c r="A68" s="1" t="s">
        <v>1217</v>
      </c>
      <c r="B68" s="1"/>
      <c r="C68" s="1">
        <v>41.0</v>
      </c>
    </row>
    <row r="69">
      <c r="A69" s="1" t="s">
        <v>1218</v>
      </c>
      <c r="B69" s="1"/>
      <c r="C69" s="1">
        <v>41.0</v>
      </c>
    </row>
    <row r="70">
      <c r="A70" s="1" t="s">
        <v>1219</v>
      </c>
      <c r="B70" s="1"/>
      <c r="C70" s="1">
        <v>41.0</v>
      </c>
    </row>
    <row r="71">
      <c r="A71" s="1" t="s">
        <v>1220</v>
      </c>
      <c r="B71" s="1"/>
      <c r="C71" s="1">
        <v>20.0</v>
      </c>
    </row>
    <row r="72">
      <c r="A72" s="13" t="s">
        <v>1221</v>
      </c>
      <c r="B72" s="1"/>
      <c r="C72" s="1">
        <v>120.0</v>
      </c>
    </row>
    <row r="73">
      <c r="A73" s="13" t="s">
        <v>1222</v>
      </c>
      <c r="B73" s="1"/>
      <c r="C73" s="1">
        <v>120.0</v>
      </c>
    </row>
    <row r="74">
      <c r="A74" s="1" t="s">
        <v>1223</v>
      </c>
      <c r="B74" s="1"/>
      <c r="C74" s="1">
        <v>75.0</v>
      </c>
    </row>
    <row r="75">
      <c r="A75" s="1" t="s">
        <v>1224</v>
      </c>
      <c r="B75" s="1"/>
      <c r="C75" s="1">
        <v>75.0</v>
      </c>
    </row>
    <row r="76">
      <c r="A76" s="1" t="s">
        <v>1225</v>
      </c>
      <c r="B76" s="1"/>
      <c r="C76" s="1">
        <v>75.0</v>
      </c>
    </row>
    <row r="77">
      <c r="A77" s="13" t="s">
        <v>1226</v>
      </c>
      <c r="B77" s="1"/>
      <c r="C77" s="1">
        <v>120.0</v>
      </c>
    </row>
    <row r="78">
      <c r="A78" s="13" t="s">
        <v>1227</v>
      </c>
      <c r="B78" s="1"/>
      <c r="C78" s="1">
        <v>120.0</v>
      </c>
    </row>
    <row r="79">
      <c r="A79" s="1" t="s">
        <v>1228</v>
      </c>
      <c r="B79" s="1"/>
      <c r="C79" s="1">
        <v>120.0</v>
      </c>
    </row>
    <row r="80">
      <c r="A80" s="1" t="s">
        <v>1229</v>
      </c>
      <c r="B80" s="1"/>
      <c r="C80" s="1">
        <v>120.0</v>
      </c>
    </row>
    <row r="81">
      <c r="A81" s="13" t="s">
        <v>1230</v>
      </c>
      <c r="B81" s="1"/>
      <c r="C81" s="1">
        <v>120.0</v>
      </c>
    </row>
    <row r="82">
      <c r="A82" s="13" t="s">
        <v>1231</v>
      </c>
      <c r="B82" s="1"/>
      <c r="C82" s="1">
        <v>120.0</v>
      </c>
    </row>
    <row r="83">
      <c r="A83" s="1" t="s">
        <v>1232</v>
      </c>
      <c r="B83" s="1"/>
      <c r="C83" s="1">
        <v>41.0</v>
      </c>
    </row>
    <row r="84">
      <c r="A84" s="13" t="s">
        <v>1233</v>
      </c>
      <c r="B84" s="1"/>
      <c r="C84" s="1">
        <v>120.0</v>
      </c>
    </row>
    <row r="85">
      <c r="A85" s="13" t="s">
        <v>1234</v>
      </c>
      <c r="B85" s="1"/>
      <c r="C85" s="1">
        <v>120.0</v>
      </c>
    </row>
    <row r="86">
      <c r="A86" s="13" t="s">
        <v>1235</v>
      </c>
      <c r="B86" s="1"/>
      <c r="C86" s="1">
        <v>120.0</v>
      </c>
    </row>
    <row r="87">
      <c r="A87" s="13" t="s">
        <v>1236</v>
      </c>
      <c r="B87" s="1"/>
      <c r="C87" s="1">
        <v>120.0</v>
      </c>
    </row>
    <row r="88">
      <c r="A88" s="13" t="s">
        <v>1237</v>
      </c>
      <c r="B88" s="1"/>
      <c r="C88" s="1">
        <v>75.0</v>
      </c>
    </row>
    <row r="89">
      <c r="A89" s="13" t="s">
        <v>1238</v>
      </c>
      <c r="B89" s="1"/>
      <c r="C89" s="1">
        <v>75.0</v>
      </c>
    </row>
    <row r="90">
      <c r="A90" s="1" t="s">
        <v>1239</v>
      </c>
      <c r="B90" s="1"/>
      <c r="C90" s="1">
        <v>75.0</v>
      </c>
    </row>
    <row r="91">
      <c r="A91" s="13" t="s">
        <v>1240</v>
      </c>
      <c r="B91" s="1"/>
      <c r="C91" s="1">
        <v>20.0</v>
      </c>
    </row>
    <row r="92">
      <c r="A92" s="13" t="s">
        <v>1241</v>
      </c>
      <c r="B92" s="1"/>
      <c r="C92" s="1">
        <v>41.0</v>
      </c>
    </row>
    <row r="93">
      <c r="A93" s="1" t="s">
        <v>1242</v>
      </c>
      <c r="B93" s="1"/>
      <c r="C93" s="1">
        <v>41.0</v>
      </c>
    </row>
    <row r="94">
      <c r="A94" s="1" t="s">
        <v>1243</v>
      </c>
      <c r="B94" s="1"/>
      <c r="C94" s="1">
        <v>20.0</v>
      </c>
    </row>
    <row r="95">
      <c r="A95" s="1" t="s">
        <v>1244</v>
      </c>
      <c r="B95" s="1"/>
      <c r="C95" s="1">
        <v>75.0</v>
      </c>
    </row>
    <row r="96">
      <c r="A96" s="1" t="s">
        <v>1245</v>
      </c>
      <c r="B96" s="1"/>
      <c r="C96" s="1">
        <v>75.0</v>
      </c>
    </row>
    <row r="97">
      <c r="A97" s="1" t="s">
        <v>1246</v>
      </c>
      <c r="B97" s="1"/>
      <c r="C97" s="1">
        <v>120.0</v>
      </c>
    </row>
    <row r="98">
      <c r="A98" s="1" t="s">
        <v>1247</v>
      </c>
      <c r="B98" s="1"/>
      <c r="C98" s="1">
        <v>120.0</v>
      </c>
    </row>
    <row r="99">
      <c r="A99" s="1" t="s">
        <v>1248</v>
      </c>
      <c r="B99" s="1"/>
      <c r="C99" s="1">
        <v>120.0</v>
      </c>
    </row>
    <row r="100">
      <c r="A100" s="13" t="s">
        <v>1249</v>
      </c>
      <c r="B100" s="1"/>
      <c r="C100" s="1">
        <v>120.0</v>
      </c>
    </row>
    <row r="101">
      <c r="A101" s="13" t="s">
        <v>1250</v>
      </c>
      <c r="B101" s="1"/>
      <c r="C101" s="1">
        <v>120.0</v>
      </c>
    </row>
    <row r="102">
      <c r="A102" s="13" t="s">
        <v>1251</v>
      </c>
      <c r="B102" s="1"/>
      <c r="C102" s="1">
        <v>41.0</v>
      </c>
    </row>
    <row r="103">
      <c r="A103" s="13" t="s">
        <v>1252</v>
      </c>
      <c r="B103" s="1"/>
      <c r="C103" s="1">
        <v>20.0</v>
      </c>
    </row>
    <row r="104">
      <c r="A104" s="1" t="s">
        <v>1253</v>
      </c>
      <c r="B104" s="1"/>
      <c r="C104" s="1">
        <v>20.0</v>
      </c>
    </row>
    <row r="105">
      <c r="A105" s="13" t="s">
        <v>1254</v>
      </c>
      <c r="B105" s="1"/>
      <c r="C105" s="1">
        <v>120.0</v>
      </c>
    </row>
    <row r="106">
      <c r="A106" s="13" t="s">
        <v>1255</v>
      </c>
      <c r="B106" s="1"/>
      <c r="C106" s="1">
        <v>120.0</v>
      </c>
    </row>
    <row r="107">
      <c r="A107" s="1" t="s">
        <v>1256</v>
      </c>
      <c r="B107" s="1"/>
      <c r="C107" s="1">
        <v>120.0</v>
      </c>
    </row>
    <row r="108">
      <c r="A108" s="1" t="s">
        <v>1257</v>
      </c>
      <c r="B108" s="1"/>
      <c r="C108" s="1">
        <v>75.0</v>
      </c>
    </row>
    <row r="109">
      <c r="A109" s="1" t="s">
        <v>1258</v>
      </c>
      <c r="B109" s="1"/>
      <c r="C109" s="1">
        <v>75.0</v>
      </c>
    </row>
    <row r="110">
      <c r="A110" s="13" t="s">
        <v>1259</v>
      </c>
      <c r="B110" s="1"/>
      <c r="C110" s="1">
        <v>75.0</v>
      </c>
    </row>
    <row r="111">
      <c r="A111" s="13" t="s">
        <v>1260</v>
      </c>
      <c r="B111" s="1"/>
      <c r="C111" s="1">
        <v>75.0</v>
      </c>
    </row>
    <row r="112">
      <c r="A112" s="1" t="s">
        <v>1261</v>
      </c>
      <c r="B112" s="1"/>
      <c r="C112" s="1">
        <v>41.0</v>
      </c>
    </row>
    <row r="113">
      <c r="A113" s="13" t="s">
        <v>1262</v>
      </c>
      <c r="B113" s="1"/>
      <c r="C113" s="1">
        <v>120.0</v>
      </c>
    </row>
    <row r="114">
      <c r="A114" s="13" t="s">
        <v>1263</v>
      </c>
      <c r="B114" s="1"/>
      <c r="C114" s="1">
        <v>120.0</v>
      </c>
    </row>
    <row r="115">
      <c r="A115" s="1" t="s">
        <v>1264</v>
      </c>
      <c r="B115" s="1"/>
      <c r="C115" s="1">
        <v>75.0</v>
      </c>
    </row>
    <row r="116">
      <c r="A116" s="1" t="s">
        <v>1265</v>
      </c>
      <c r="B116" s="1"/>
      <c r="C116" s="1">
        <v>75.0</v>
      </c>
    </row>
    <row r="117">
      <c r="A117" s="1" t="s">
        <v>1266</v>
      </c>
      <c r="B117" s="1"/>
      <c r="C117" s="1">
        <v>75.0</v>
      </c>
    </row>
    <row r="118">
      <c r="A118" s="1" t="s">
        <v>1267</v>
      </c>
      <c r="B118" s="1"/>
      <c r="C118" s="1">
        <v>75.0</v>
      </c>
    </row>
    <row r="119">
      <c r="A119" s="1" t="s">
        <v>1268</v>
      </c>
      <c r="B119" s="1"/>
      <c r="C119" s="1">
        <v>75.0</v>
      </c>
    </row>
    <row r="120">
      <c r="A120" s="1" t="s">
        <v>1269</v>
      </c>
      <c r="B120" s="1"/>
      <c r="C120" s="1">
        <v>75.0</v>
      </c>
    </row>
    <row r="121">
      <c r="A121" s="1" t="s">
        <v>1270</v>
      </c>
      <c r="B121" s="1"/>
      <c r="C121" s="1">
        <v>75.0</v>
      </c>
    </row>
    <row r="122">
      <c r="A122" s="1" t="s">
        <v>1271</v>
      </c>
      <c r="B122" s="1"/>
      <c r="C122" s="1">
        <v>75.0</v>
      </c>
    </row>
    <row r="123">
      <c r="A123" s="13" t="s">
        <v>1272</v>
      </c>
      <c r="B123" s="1"/>
      <c r="C123" s="1">
        <v>120.0</v>
      </c>
    </row>
    <row r="124">
      <c r="A124" s="13" t="s">
        <v>1273</v>
      </c>
      <c r="B124" s="1"/>
      <c r="C124" s="1">
        <v>120.0</v>
      </c>
    </row>
    <row r="125">
      <c r="A125" s="13" t="s">
        <v>1274</v>
      </c>
      <c r="B125" s="1"/>
      <c r="C125" s="1">
        <v>75.0</v>
      </c>
    </row>
    <row r="126">
      <c r="A126" s="13" t="s">
        <v>1275</v>
      </c>
      <c r="B126" s="1"/>
      <c r="C126" s="1">
        <v>75.0</v>
      </c>
    </row>
    <row r="127">
      <c r="A127" s="1" t="s">
        <v>1276</v>
      </c>
      <c r="B127" s="1"/>
      <c r="C127" s="1">
        <v>75.0</v>
      </c>
    </row>
    <row r="128">
      <c r="A128" s="13" t="s">
        <v>1277</v>
      </c>
      <c r="B128" s="1"/>
      <c r="C128" s="1">
        <v>120.0</v>
      </c>
    </row>
    <row r="129">
      <c r="A129" s="13" t="s">
        <v>1278</v>
      </c>
      <c r="B129" s="1"/>
      <c r="C129" s="1">
        <v>120.0</v>
      </c>
    </row>
    <row r="130">
      <c r="A130" s="13" t="s">
        <v>1279</v>
      </c>
      <c r="B130" s="1"/>
      <c r="C130" s="1">
        <v>75.0</v>
      </c>
    </row>
    <row r="131">
      <c r="A131" s="13" t="s">
        <v>1280</v>
      </c>
      <c r="B131" s="1"/>
      <c r="C131" s="1">
        <v>75.0</v>
      </c>
    </row>
    <row r="132">
      <c r="A132" s="13" t="s">
        <v>1281</v>
      </c>
      <c r="B132" s="1"/>
      <c r="C132" s="1">
        <v>120.0</v>
      </c>
    </row>
    <row r="133">
      <c r="A133" s="13" t="s">
        <v>1282</v>
      </c>
      <c r="B133" s="1"/>
      <c r="C133" s="1">
        <v>120.0</v>
      </c>
    </row>
    <row r="134">
      <c r="A134" s="1" t="s">
        <v>1283</v>
      </c>
      <c r="B134" s="1"/>
      <c r="C134" s="1">
        <v>120.0</v>
      </c>
    </row>
    <row r="135">
      <c r="A135" s="1" t="s">
        <v>1284</v>
      </c>
      <c r="B135" s="1"/>
      <c r="C135" s="1">
        <v>75.0</v>
      </c>
    </row>
    <row r="136">
      <c r="A136" s="13" t="s">
        <v>1285</v>
      </c>
      <c r="B136" s="1"/>
      <c r="C136" s="1">
        <v>120.0</v>
      </c>
    </row>
    <row r="137">
      <c r="A137" s="13" t="s">
        <v>1286</v>
      </c>
      <c r="B137" s="1"/>
      <c r="C137" s="1">
        <v>120.0</v>
      </c>
    </row>
    <row r="138">
      <c r="A138" s="13" t="s">
        <v>1287</v>
      </c>
      <c r="B138" s="1"/>
      <c r="C138" s="1">
        <v>120.0</v>
      </c>
    </row>
    <row r="139">
      <c r="A139" s="13" t="s">
        <v>1288</v>
      </c>
      <c r="B139" s="1"/>
      <c r="C139" s="1">
        <v>120.0</v>
      </c>
    </row>
    <row r="140">
      <c r="A140" s="1" t="s">
        <v>1289</v>
      </c>
      <c r="B140" s="1"/>
      <c r="C140" s="1">
        <v>41.0</v>
      </c>
    </row>
    <row r="141">
      <c r="A141" s="13" t="s">
        <v>1290</v>
      </c>
      <c r="B141" s="1"/>
      <c r="C141" s="1">
        <v>120.0</v>
      </c>
    </row>
    <row r="142">
      <c r="A142" s="13" t="s">
        <v>1291</v>
      </c>
      <c r="B142" s="1"/>
      <c r="C142" s="1">
        <v>120.0</v>
      </c>
    </row>
    <row r="143">
      <c r="A143" s="13" t="s">
        <v>1292</v>
      </c>
      <c r="B143" s="1"/>
      <c r="C143" s="1">
        <v>20.0</v>
      </c>
    </row>
    <row r="144">
      <c r="A144" s="13" t="s">
        <v>1293</v>
      </c>
      <c r="B144" s="1"/>
      <c r="C144" s="1">
        <v>20.0</v>
      </c>
    </row>
    <row r="145">
      <c r="A145" s="1" t="s">
        <v>1294</v>
      </c>
      <c r="B145" s="1"/>
      <c r="C145" s="1">
        <v>41.0</v>
      </c>
    </row>
    <row r="146">
      <c r="A146" s="13" t="s">
        <v>1295</v>
      </c>
      <c r="B146" s="1"/>
      <c r="C146" s="1">
        <v>120.0</v>
      </c>
    </row>
    <row r="147">
      <c r="A147" s="13" t="s">
        <v>1296</v>
      </c>
      <c r="B147" s="1"/>
      <c r="C147" s="1">
        <v>120.0</v>
      </c>
    </row>
    <row r="148">
      <c r="A148" s="13" t="s">
        <v>1297</v>
      </c>
      <c r="B148" s="1"/>
      <c r="C148" s="1">
        <v>75.0</v>
      </c>
    </row>
    <row r="149">
      <c r="A149" s="13" t="s">
        <v>1298</v>
      </c>
      <c r="B149" s="1"/>
      <c r="C149" s="1">
        <v>75.0</v>
      </c>
    </row>
    <row r="150">
      <c r="A150" s="13" t="s">
        <v>1299</v>
      </c>
      <c r="B150" s="1"/>
      <c r="C150" s="1">
        <v>63.0</v>
      </c>
    </row>
    <row r="151">
      <c r="A151" s="13" t="s">
        <v>1300</v>
      </c>
      <c r="B151" s="1"/>
      <c r="C151" s="1">
        <v>63.0</v>
      </c>
    </row>
    <row r="152">
      <c r="A152" s="1" t="s">
        <v>1301</v>
      </c>
      <c r="B152" s="1"/>
      <c r="C152" s="1">
        <v>30.0</v>
      </c>
    </row>
    <row r="153">
      <c r="A153" s="13" t="s">
        <v>1302</v>
      </c>
      <c r="B153" s="1"/>
      <c r="C153" s="1">
        <v>41.0</v>
      </c>
    </row>
    <row r="154">
      <c r="A154" s="13" t="s">
        <v>1303</v>
      </c>
      <c r="B154" s="1"/>
      <c r="C154" s="1">
        <v>41.0</v>
      </c>
    </row>
    <row r="155">
      <c r="A155" s="1" t="s">
        <v>1304</v>
      </c>
      <c r="B155" s="1"/>
      <c r="C155" s="1">
        <v>120.0</v>
      </c>
    </row>
    <row r="156">
      <c r="A156" s="1" t="s">
        <v>1305</v>
      </c>
      <c r="B156" s="1"/>
      <c r="C156" s="1">
        <v>120.0</v>
      </c>
    </row>
    <row r="157">
      <c r="A157" s="13" t="s">
        <v>1306</v>
      </c>
      <c r="B157" s="1"/>
      <c r="C157" s="1">
        <v>120.0</v>
      </c>
    </row>
    <row r="158">
      <c r="A158" s="13" t="s">
        <v>1307</v>
      </c>
      <c r="B158" s="1"/>
      <c r="C158" s="1">
        <v>120.0</v>
      </c>
    </row>
    <row r="159">
      <c r="A159" s="13" t="s">
        <v>1308</v>
      </c>
      <c r="B159" s="1"/>
      <c r="C159" s="1">
        <v>120.0</v>
      </c>
    </row>
    <row r="160">
      <c r="A160" s="13" t="s">
        <v>1309</v>
      </c>
      <c r="B160" s="1"/>
      <c r="C160" s="1">
        <v>120.0</v>
      </c>
    </row>
    <row r="161">
      <c r="A161" s="13" t="s">
        <v>1310</v>
      </c>
      <c r="B161" s="1"/>
      <c r="C161" s="1">
        <v>120.0</v>
      </c>
    </row>
    <row r="162">
      <c r="A162" s="13" t="s">
        <v>1311</v>
      </c>
      <c r="B162" s="1"/>
      <c r="C162" s="1">
        <v>120.0</v>
      </c>
    </row>
    <row r="163">
      <c r="A163" s="1" t="s">
        <v>1312</v>
      </c>
      <c r="B163" s="1"/>
      <c r="C163" s="1">
        <v>63.0</v>
      </c>
    </row>
    <row r="164">
      <c r="A164" s="13" t="s">
        <v>1313</v>
      </c>
      <c r="B164" s="1"/>
      <c r="C164" s="1">
        <v>120.0</v>
      </c>
    </row>
    <row r="165">
      <c r="A165" s="13" t="s">
        <v>1314</v>
      </c>
      <c r="B165" s="1"/>
      <c r="C165" s="1">
        <v>120.0</v>
      </c>
    </row>
    <row r="166">
      <c r="A166" s="13" t="s">
        <v>1315</v>
      </c>
      <c r="B166" s="1"/>
      <c r="C166" s="1">
        <v>100.0</v>
      </c>
    </row>
    <row r="167">
      <c r="A167" s="13" t="s">
        <v>1316</v>
      </c>
      <c r="B167" s="1"/>
      <c r="C167" s="1">
        <v>100.0</v>
      </c>
    </row>
    <row r="168">
      <c r="A168" s="1" t="s">
        <v>1317</v>
      </c>
      <c r="B168" s="1"/>
      <c r="C168" s="1">
        <v>100.0</v>
      </c>
    </row>
    <row r="169">
      <c r="A169" s="13" t="s">
        <v>1318</v>
      </c>
      <c r="B169" s="1"/>
      <c r="C169" s="1">
        <v>120.0</v>
      </c>
    </row>
    <row r="170">
      <c r="A170" s="13" t="s">
        <v>1319</v>
      </c>
      <c r="B170" s="1"/>
      <c r="C170" s="1">
        <v>75.0</v>
      </c>
    </row>
    <row r="171">
      <c r="A171" s="1" t="s">
        <v>1320</v>
      </c>
      <c r="B171" s="1"/>
      <c r="C171" s="1">
        <v>75.0</v>
      </c>
    </row>
    <row r="172">
      <c r="A172" s="1" t="s">
        <v>1321</v>
      </c>
      <c r="B172" s="1"/>
      <c r="C172" s="1">
        <v>75.0</v>
      </c>
    </row>
    <row r="173">
      <c r="A173" s="1" t="s">
        <v>1322</v>
      </c>
      <c r="B173" s="1"/>
      <c r="C173" s="1">
        <v>120.0</v>
      </c>
    </row>
    <row r="174">
      <c r="A174" s="13" t="s">
        <v>1323</v>
      </c>
      <c r="B174" s="1"/>
      <c r="C174" s="1">
        <v>75.0</v>
      </c>
    </row>
    <row r="175">
      <c r="A175" s="13" t="s">
        <v>1324</v>
      </c>
      <c r="B175" s="1"/>
      <c r="C175" s="1">
        <v>75.0</v>
      </c>
    </row>
    <row r="176">
      <c r="A176" s="13" t="s">
        <v>1325</v>
      </c>
      <c r="B176" s="1"/>
      <c r="C176" s="1">
        <v>41.0</v>
      </c>
    </row>
    <row r="177">
      <c r="A177" s="13" t="s">
        <v>1326</v>
      </c>
      <c r="B177" s="1"/>
      <c r="C177" s="1">
        <v>75.0</v>
      </c>
    </row>
    <row r="178">
      <c r="A178" s="1" t="s">
        <v>1327</v>
      </c>
      <c r="B178" s="1"/>
      <c r="C178" s="1">
        <v>75.0</v>
      </c>
    </row>
    <row r="179">
      <c r="A179" s="1" t="s">
        <v>1328</v>
      </c>
      <c r="B179" s="1"/>
      <c r="C179" s="1">
        <v>75.0</v>
      </c>
    </row>
    <row r="180">
      <c r="A180" s="13" t="s">
        <v>1329</v>
      </c>
      <c r="B180" s="1"/>
      <c r="C180" s="1">
        <v>120.0</v>
      </c>
    </row>
    <row r="181">
      <c r="A181" s="13" t="s">
        <v>1330</v>
      </c>
      <c r="B181" s="1"/>
      <c r="C181" s="1">
        <v>120.0</v>
      </c>
    </row>
    <row r="182">
      <c r="A182" s="1" t="s">
        <v>1331</v>
      </c>
      <c r="B182" s="1"/>
      <c r="C182" s="1">
        <v>120.0</v>
      </c>
    </row>
    <row r="183">
      <c r="A183" s="13" t="s">
        <v>1332</v>
      </c>
      <c r="B183" s="1"/>
      <c r="C183" s="1">
        <v>83.0</v>
      </c>
    </row>
    <row r="184">
      <c r="A184" s="13" t="s">
        <v>1333</v>
      </c>
      <c r="B184" s="1"/>
      <c r="C184" s="1">
        <v>120.0</v>
      </c>
    </row>
    <row r="185">
      <c r="A185" s="1" t="s">
        <v>1334</v>
      </c>
      <c r="B185" s="1"/>
      <c r="C185" s="1">
        <v>120.0</v>
      </c>
    </row>
    <row r="186">
      <c r="A186" s="13" t="s">
        <v>1335</v>
      </c>
      <c r="B186" s="1"/>
      <c r="C186" s="1">
        <v>120.0</v>
      </c>
    </row>
    <row r="187">
      <c r="A187" s="13" t="s">
        <v>1336</v>
      </c>
      <c r="B187" s="1"/>
      <c r="C187" s="1">
        <v>75.0</v>
      </c>
    </row>
    <row r="188">
      <c r="A188" s="1" t="s">
        <v>1337</v>
      </c>
      <c r="B188" s="1"/>
      <c r="C188" s="1">
        <v>50.0</v>
      </c>
    </row>
    <row r="189">
      <c r="A189" s="13" t="s">
        <v>1338</v>
      </c>
      <c r="B189" s="1"/>
      <c r="C189" s="1">
        <v>41.0</v>
      </c>
    </row>
    <row r="190">
      <c r="A190" s="13" t="s">
        <v>1339</v>
      </c>
      <c r="B190" s="1"/>
      <c r="C190" s="1">
        <v>41.0</v>
      </c>
    </row>
    <row r="191">
      <c r="A191" s="1" t="s">
        <v>1340</v>
      </c>
      <c r="B191" s="1"/>
      <c r="C191" s="1">
        <v>41.0</v>
      </c>
    </row>
    <row r="192">
      <c r="A192" s="1" t="s">
        <v>1341</v>
      </c>
      <c r="B192" s="1"/>
      <c r="C192" s="1">
        <v>41.0</v>
      </c>
    </row>
    <row r="193">
      <c r="A193" s="13" t="s">
        <v>1342</v>
      </c>
      <c r="B193" s="1"/>
      <c r="C193" s="1">
        <v>75.0</v>
      </c>
    </row>
    <row r="194">
      <c r="A194" s="13" t="s">
        <v>1343</v>
      </c>
      <c r="B194" s="1"/>
      <c r="C194" s="1">
        <v>75.0</v>
      </c>
    </row>
    <row r="195">
      <c r="A195" s="13" t="s">
        <v>1344</v>
      </c>
      <c r="B195" s="1"/>
      <c r="C195" s="1">
        <v>120.0</v>
      </c>
    </row>
    <row r="196">
      <c r="A196" s="13" t="s">
        <v>1345</v>
      </c>
      <c r="B196" s="1"/>
      <c r="C196" s="1">
        <v>120.0</v>
      </c>
    </row>
    <row r="197">
      <c r="A197" s="1" t="s">
        <v>1346</v>
      </c>
      <c r="B197" s="1"/>
      <c r="C197" s="1">
        <v>120.0</v>
      </c>
    </row>
    <row r="198">
      <c r="A198" s="13" t="s">
        <v>1347</v>
      </c>
      <c r="B198" s="1"/>
      <c r="C198" s="1">
        <v>75.0</v>
      </c>
    </row>
    <row r="199">
      <c r="A199" s="13" t="s">
        <v>1348</v>
      </c>
      <c r="B199" s="1"/>
      <c r="C199" s="1">
        <v>75.0</v>
      </c>
    </row>
    <row r="200">
      <c r="A200" s="13" t="s">
        <v>1349</v>
      </c>
      <c r="B200" s="3"/>
      <c r="C200" s="3">
        <v>80.0</v>
      </c>
    </row>
    <row r="201">
      <c r="A201" s="13" t="s">
        <v>1350</v>
      </c>
      <c r="B201" s="3"/>
      <c r="C201" s="3">
        <v>80.0</v>
      </c>
    </row>
    <row r="202">
      <c r="A202" s="13" t="s">
        <v>1351</v>
      </c>
      <c r="B202" s="1"/>
      <c r="C202" s="1">
        <v>75.0</v>
      </c>
    </row>
    <row r="203">
      <c r="A203" s="13" t="s">
        <v>1352</v>
      </c>
      <c r="B203" s="1"/>
      <c r="C203" s="1">
        <v>75.0</v>
      </c>
    </row>
    <row r="204">
      <c r="A204" s="1" t="s">
        <v>1353</v>
      </c>
      <c r="B204" s="1"/>
      <c r="C204" s="1">
        <v>75.0</v>
      </c>
    </row>
    <row r="205">
      <c r="A205" s="13" t="s">
        <v>1354</v>
      </c>
      <c r="B205" s="1"/>
      <c r="C205" s="1">
        <v>120.0</v>
      </c>
    </row>
    <row r="206">
      <c r="A206" s="13" t="s">
        <v>1355</v>
      </c>
      <c r="B206" s="1"/>
      <c r="C206" s="1">
        <v>120.0</v>
      </c>
    </row>
    <row r="207">
      <c r="A207" s="13" t="s">
        <v>1356</v>
      </c>
      <c r="B207" s="1"/>
      <c r="C207" s="1">
        <v>75.0</v>
      </c>
    </row>
    <row r="208">
      <c r="A208" s="13" t="s">
        <v>1357</v>
      </c>
      <c r="B208" s="1"/>
      <c r="C208" s="1">
        <v>75.0</v>
      </c>
    </row>
    <row r="209">
      <c r="A209" s="1" t="s">
        <v>1358</v>
      </c>
      <c r="B209" s="1"/>
      <c r="C209" s="1">
        <v>75.0</v>
      </c>
    </row>
    <row r="210">
      <c r="A210" s="13" t="s">
        <v>1359</v>
      </c>
      <c r="B210" s="1"/>
      <c r="C210" s="1">
        <v>20.0</v>
      </c>
    </row>
    <row r="211">
      <c r="A211" s="13" t="s">
        <v>1360</v>
      </c>
      <c r="B211" s="1"/>
      <c r="C211" s="1">
        <v>75.0</v>
      </c>
    </row>
    <row r="212">
      <c r="A212" s="13" t="s">
        <v>1361</v>
      </c>
      <c r="B212" s="1"/>
      <c r="C212" s="1">
        <v>75.0</v>
      </c>
    </row>
    <row r="213">
      <c r="A213" s="13" t="s">
        <v>1362</v>
      </c>
      <c r="B213" s="1"/>
      <c r="C213" s="1">
        <v>120.0</v>
      </c>
    </row>
    <row r="214">
      <c r="A214" s="13" t="s">
        <v>1363</v>
      </c>
      <c r="B214" s="1"/>
      <c r="C214" s="1">
        <v>120.0</v>
      </c>
    </row>
    <row r="215">
      <c r="A215" s="1" t="s">
        <v>1364</v>
      </c>
      <c r="B215" s="1"/>
      <c r="C215" s="1">
        <v>75.0</v>
      </c>
    </row>
    <row r="216">
      <c r="A216" s="1" t="s">
        <v>1365</v>
      </c>
      <c r="B216" s="1"/>
      <c r="C216" s="1">
        <v>75.0</v>
      </c>
    </row>
    <row r="217">
      <c r="A217" s="1" t="s">
        <v>1366</v>
      </c>
      <c r="B217" s="1"/>
      <c r="C217" s="1">
        <v>39.0</v>
      </c>
    </row>
    <row r="218">
      <c r="A218" s="1" t="s">
        <v>1367</v>
      </c>
      <c r="B218" s="1"/>
      <c r="C218" s="1">
        <v>39.0</v>
      </c>
    </row>
    <row r="219">
      <c r="A219" s="1" t="s">
        <v>1368</v>
      </c>
      <c r="B219" s="1"/>
      <c r="C219" s="1">
        <v>64.0</v>
      </c>
    </row>
    <row r="220">
      <c r="A220" s="1" t="s">
        <v>1369</v>
      </c>
      <c r="B220" s="1"/>
      <c r="C220" s="1">
        <v>64.0</v>
      </c>
    </row>
    <row r="221">
      <c r="A221" s="1" t="s">
        <v>1370</v>
      </c>
      <c r="B221" s="1"/>
      <c r="C221" s="1">
        <v>64.0</v>
      </c>
    </row>
    <row r="222">
      <c r="A222" s="13" t="s">
        <v>1371</v>
      </c>
      <c r="B222" s="1"/>
      <c r="C222" s="1">
        <v>120.0</v>
      </c>
    </row>
    <row r="223">
      <c r="A223" s="13" t="s">
        <v>1372</v>
      </c>
      <c r="B223" s="1"/>
      <c r="C223" s="1">
        <v>120.0</v>
      </c>
    </row>
    <row r="224">
      <c r="A224" s="1" t="s">
        <v>1373</v>
      </c>
      <c r="B224" s="1"/>
      <c r="C224" s="1">
        <v>80.0</v>
      </c>
    </row>
    <row r="225">
      <c r="A225" s="13" t="s">
        <v>1374</v>
      </c>
      <c r="B225" s="1"/>
      <c r="C225" s="1">
        <v>120.0</v>
      </c>
    </row>
    <row r="226">
      <c r="A226" s="13" t="s">
        <v>1375</v>
      </c>
      <c r="B226" s="1"/>
      <c r="C226" s="1">
        <v>120.0</v>
      </c>
    </row>
    <row r="227">
      <c r="A227" s="1" t="s">
        <v>1376</v>
      </c>
      <c r="B227" s="1"/>
      <c r="C227" s="1">
        <v>120.0</v>
      </c>
    </row>
    <row r="228">
      <c r="A228" s="13" t="s">
        <v>1377</v>
      </c>
      <c r="B228" s="1"/>
      <c r="C228" s="1">
        <v>75.0</v>
      </c>
    </row>
    <row r="229">
      <c r="A229" s="13" t="s">
        <v>1378</v>
      </c>
      <c r="B229" s="1"/>
      <c r="C229" s="1">
        <v>75.0</v>
      </c>
    </row>
    <row r="230">
      <c r="A230" s="1" t="s">
        <v>1379</v>
      </c>
      <c r="B230" s="1"/>
      <c r="C230" s="1">
        <v>75.0</v>
      </c>
    </row>
    <row r="231">
      <c r="A231" s="1" t="s">
        <v>1380</v>
      </c>
      <c r="B231" s="1"/>
      <c r="C231" s="1">
        <v>75.0</v>
      </c>
    </row>
    <row r="232">
      <c r="A232" s="1" t="s">
        <v>1381</v>
      </c>
      <c r="B232" s="1"/>
      <c r="C232" s="1">
        <v>75.0</v>
      </c>
    </row>
    <row r="233">
      <c r="A233" s="13" t="s">
        <v>1382</v>
      </c>
      <c r="B233" s="1"/>
      <c r="C233" s="1">
        <v>50.0</v>
      </c>
    </row>
    <row r="234">
      <c r="A234" s="13" t="s">
        <v>1383</v>
      </c>
      <c r="B234" s="1"/>
      <c r="C234" s="1">
        <v>50.0</v>
      </c>
    </row>
    <row r="235">
      <c r="A235" s="1" t="s">
        <v>1384</v>
      </c>
      <c r="B235" s="1"/>
      <c r="C235" s="1">
        <v>25.0</v>
      </c>
    </row>
    <row r="236">
      <c r="A236" s="13" t="s">
        <v>1385</v>
      </c>
      <c r="B236" s="1"/>
      <c r="C236" s="1">
        <v>41.0</v>
      </c>
    </row>
    <row r="237">
      <c r="A237" s="13" t="s">
        <v>1386</v>
      </c>
      <c r="B237" s="1"/>
      <c r="C237" s="1">
        <v>41.0</v>
      </c>
    </row>
    <row r="238">
      <c r="A238" s="1" t="s">
        <v>1387</v>
      </c>
      <c r="B238" s="1"/>
      <c r="C238" s="1">
        <v>41.0</v>
      </c>
    </row>
    <row r="239">
      <c r="A239" s="13" t="s">
        <v>1388</v>
      </c>
      <c r="B239" s="1"/>
      <c r="C239" s="1">
        <v>75.0</v>
      </c>
    </row>
    <row r="240">
      <c r="A240" s="13" t="s">
        <v>1389</v>
      </c>
      <c r="B240" s="1"/>
      <c r="C240" s="1">
        <v>75.0</v>
      </c>
    </row>
    <row r="241">
      <c r="A241" s="13" t="s">
        <v>1390</v>
      </c>
      <c r="B241" s="1"/>
      <c r="C241" s="1">
        <v>120.0</v>
      </c>
    </row>
    <row r="242">
      <c r="A242" s="13" t="s">
        <v>1391</v>
      </c>
      <c r="B242" s="1"/>
      <c r="C242" s="1">
        <v>120.0</v>
      </c>
    </row>
    <row r="243">
      <c r="A243" s="13" t="s">
        <v>1392</v>
      </c>
      <c r="B243" s="1"/>
      <c r="C243" s="1">
        <v>120.0</v>
      </c>
    </row>
    <row r="244">
      <c r="A244" s="13" t="s">
        <v>1393</v>
      </c>
      <c r="B244" s="1"/>
      <c r="C244" s="1">
        <v>120.0</v>
      </c>
    </row>
    <row r="245">
      <c r="A245" s="13" t="s">
        <v>1394</v>
      </c>
      <c r="B245" s="1"/>
      <c r="C245" s="1">
        <v>120.0</v>
      </c>
    </row>
    <row r="246">
      <c r="A246" s="13" t="s">
        <v>1395</v>
      </c>
      <c r="B246" s="1"/>
      <c r="C246" s="1">
        <v>120.0</v>
      </c>
    </row>
    <row r="247">
      <c r="A247" s="13" t="s">
        <v>1396</v>
      </c>
      <c r="B247" s="1"/>
      <c r="C247" s="1">
        <v>75.0</v>
      </c>
    </row>
    <row r="248">
      <c r="A248" s="13" t="s">
        <v>1397</v>
      </c>
      <c r="B248" s="1"/>
      <c r="C248" s="1">
        <v>75.0</v>
      </c>
    </row>
    <row r="249">
      <c r="A249" s="13" t="s">
        <v>1398</v>
      </c>
      <c r="B249" s="1"/>
      <c r="C249" s="1">
        <v>20.0</v>
      </c>
    </row>
    <row r="250">
      <c r="A250" s="13" t="s">
        <v>1399</v>
      </c>
      <c r="B250" s="1"/>
      <c r="C250" s="1">
        <v>20.0</v>
      </c>
    </row>
    <row r="251">
      <c r="A251" s="1" t="s">
        <v>1400</v>
      </c>
      <c r="B251" s="1"/>
      <c r="C251" s="1">
        <v>33.0</v>
      </c>
    </row>
    <row r="252">
      <c r="A252" s="1" t="s">
        <v>1401</v>
      </c>
      <c r="B252" s="1"/>
      <c r="C252" s="1">
        <v>75.0</v>
      </c>
    </row>
    <row r="253">
      <c r="A253" s="1" t="s">
        <v>1402</v>
      </c>
      <c r="B253" s="1"/>
      <c r="C253" s="1">
        <v>75.0</v>
      </c>
    </row>
    <row r="254">
      <c r="A254" s="13" t="s">
        <v>1403</v>
      </c>
      <c r="B254" s="1"/>
      <c r="C254" s="1">
        <v>50.0</v>
      </c>
    </row>
    <row r="255">
      <c r="A255" s="13" t="s">
        <v>1404</v>
      </c>
      <c r="B255" s="1"/>
      <c r="C255" s="1">
        <v>50.0</v>
      </c>
    </row>
    <row r="256">
      <c r="A256" s="13" t="s">
        <v>1405</v>
      </c>
      <c r="B256" s="1"/>
      <c r="C256" s="1">
        <v>41.0</v>
      </c>
    </row>
    <row r="257">
      <c r="A257" s="13" t="s">
        <v>1406</v>
      </c>
      <c r="B257" s="1"/>
      <c r="C257" s="1">
        <v>75.0</v>
      </c>
    </row>
    <row r="258">
      <c r="A258" s="1" t="s">
        <v>1407</v>
      </c>
      <c r="B258" s="1"/>
      <c r="C258" s="1">
        <v>75.0</v>
      </c>
    </row>
    <row r="259">
      <c r="A259" s="13" t="s">
        <v>1408</v>
      </c>
      <c r="B259" s="1"/>
      <c r="C259" s="1">
        <v>75.0</v>
      </c>
    </row>
    <row r="260">
      <c r="A260" s="13" t="s">
        <v>1409</v>
      </c>
      <c r="B260" s="1"/>
      <c r="C260" s="1">
        <v>75.0</v>
      </c>
    </row>
    <row r="261">
      <c r="A261" s="13" t="s">
        <v>1410</v>
      </c>
      <c r="B261" s="1"/>
      <c r="C261" s="1">
        <v>120.0</v>
      </c>
    </row>
    <row r="262">
      <c r="A262" s="13" t="s">
        <v>1411</v>
      </c>
      <c r="B262" s="1"/>
      <c r="C262" s="1">
        <v>120.0</v>
      </c>
    </row>
    <row r="263">
      <c r="A263" s="13" t="s">
        <v>1412</v>
      </c>
      <c r="B263" s="1"/>
      <c r="C263" s="1">
        <v>41.0</v>
      </c>
    </row>
    <row r="264">
      <c r="A264" s="13" t="s">
        <v>1413</v>
      </c>
      <c r="B264" s="1"/>
      <c r="C264" s="1">
        <v>41.0</v>
      </c>
    </row>
    <row r="265">
      <c r="A265" s="1" t="s">
        <v>1414</v>
      </c>
      <c r="B265" s="1"/>
      <c r="C265" s="1">
        <v>120.0</v>
      </c>
    </row>
    <row r="266">
      <c r="A266" s="13" t="s">
        <v>1415</v>
      </c>
      <c r="B266" s="1"/>
      <c r="C266" s="1">
        <v>120.0</v>
      </c>
    </row>
    <row r="267">
      <c r="A267" s="13" t="s">
        <v>1416</v>
      </c>
      <c r="B267" s="1"/>
      <c r="C267" s="1">
        <v>120.0</v>
      </c>
    </row>
    <row r="268">
      <c r="A268" s="13" t="s">
        <v>1417</v>
      </c>
      <c r="B268" s="1"/>
      <c r="C268" s="1">
        <v>120.0</v>
      </c>
    </row>
    <row r="269">
      <c r="A269" s="13" t="s">
        <v>1418</v>
      </c>
      <c r="B269" s="1"/>
      <c r="C269" s="1">
        <v>120.0</v>
      </c>
    </row>
    <row r="270">
      <c r="A270" s="13" t="s">
        <v>1419</v>
      </c>
      <c r="B270" s="1"/>
      <c r="C270" s="1">
        <v>50.0</v>
      </c>
    </row>
    <row r="271">
      <c r="A271" s="13" t="s">
        <v>1420</v>
      </c>
      <c r="B271" s="1"/>
      <c r="C271" s="1">
        <v>75.0</v>
      </c>
    </row>
    <row r="272">
      <c r="A272" s="1" t="s">
        <v>1421</v>
      </c>
      <c r="B272" s="1"/>
      <c r="C272" s="1">
        <v>75.0</v>
      </c>
    </row>
    <row r="273">
      <c r="A273" s="13" t="s">
        <v>1422</v>
      </c>
      <c r="B273" s="1"/>
      <c r="C273" s="1">
        <v>75.0</v>
      </c>
    </row>
    <row r="274">
      <c r="A274" s="13" t="s">
        <v>1423</v>
      </c>
      <c r="B274" s="1"/>
      <c r="C274" s="1">
        <v>75.0</v>
      </c>
    </row>
    <row r="275">
      <c r="A275" s="13" t="s">
        <v>1424</v>
      </c>
      <c r="B275" s="1"/>
      <c r="C275" s="1">
        <v>41.0</v>
      </c>
    </row>
    <row r="276">
      <c r="A276" s="13" t="s">
        <v>1425</v>
      </c>
      <c r="B276" s="1"/>
      <c r="C276" s="1">
        <v>41.0</v>
      </c>
    </row>
    <row r="277">
      <c r="A277" s="13" t="s">
        <v>1426</v>
      </c>
      <c r="B277" s="1"/>
      <c r="C277" s="1">
        <v>75.0</v>
      </c>
    </row>
    <row r="278">
      <c r="A278" s="13" t="s">
        <v>1427</v>
      </c>
      <c r="B278" s="1"/>
      <c r="C278" s="1">
        <v>75.0</v>
      </c>
    </row>
    <row r="279">
      <c r="A279" s="21" t="s">
        <v>1428</v>
      </c>
      <c r="B279" s="3"/>
      <c r="C279" s="3">
        <v>50.0</v>
      </c>
    </row>
    <row r="280">
      <c r="A280" s="21" t="s">
        <v>1429</v>
      </c>
      <c r="B280" s="3"/>
      <c r="C280" s="3">
        <v>50.0</v>
      </c>
    </row>
    <row r="281">
      <c r="A281" s="21" t="s">
        <v>1430</v>
      </c>
      <c r="B281" s="3"/>
      <c r="C281" s="3">
        <v>50.0</v>
      </c>
    </row>
    <row r="282">
      <c r="A282" s="21" t="s">
        <v>1431</v>
      </c>
      <c r="B282" s="3"/>
      <c r="C282" s="3">
        <v>50.0</v>
      </c>
    </row>
    <row r="283">
      <c r="A283" s="13" t="s">
        <v>1432</v>
      </c>
      <c r="B283" s="1"/>
      <c r="C283" s="1">
        <v>75.0</v>
      </c>
    </row>
    <row r="284">
      <c r="A284" s="13" t="s">
        <v>1433</v>
      </c>
      <c r="B284" s="1"/>
      <c r="C284" s="1">
        <v>120.0</v>
      </c>
    </row>
    <row r="285">
      <c r="A285" s="1" t="s">
        <v>1434</v>
      </c>
      <c r="B285" s="1"/>
      <c r="C285" s="1">
        <v>120.0</v>
      </c>
    </row>
    <row r="286">
      <c r="A286" s="13" t="s">
        <v>1435</v>
      </c>
      <c r="B286" s="1"/>
      <c r="C286" s="1">
        <v>75.0</v>
      </c>
    </row>
    <row r="287">
      <c r="A287" s="13" t="s">
        <v>1436</v>
      </c>
      <c r="B287" s="1"/>
      <c r="C287" s="1">
        <v>75.0</v>
      </c>
    </row>
    <row r="288">
      <c r="A288" s="13" t="s">
        <v>1437</v>
      </c>
      <c r="B288" s="1"/>
      <c r="C288" s="1">
        <v>75.0</v>
      </c>
    </row>
    <row r="289">
      <c r="A289" s="13" t="s">
        <v>1438</v>
      </c>
      <c r="B289" s="1"/>
      <c r="C289" s="1">
        <v>75.0</v>
      </c>
    </row>
    <row r="290">
      <c r="A290" s="13" t="s">
        <v>1439</v>
      </c>
      <c r="B290" s="1"/>
      <c r="C290" s="1">
        <v>14.0</v>
      </c>
    </row>
    <row r="291">
      <c r="A291" s="13" t="s">
        <v>1440</v>
      </c>
      <c r="B291" s="1"/>
      <c r="C291" s="1">
        <v>14.0</v>
      </c>
    </row>
    <row r="292">
      <c r="A292" s="1" t="s">
        <v>1441</v>
      </c>
      <c r="B292" s="1"/>
      <c r="C292" s="1">
        <v>30.0</v>
      </c>
    </row>
    <row r="293">
      <c r="A293" s="13" t="s">
        <v>1442</v>
      </c>
      <c r="B293" s="1"/>
      <c r="C293" s="1">
        <v>75.0</v>
      </c>
    </row>
    <row r="294">
      <c r="A294" s="13" t="s">
        <v>1443</v>
      </c>
      <c r="B294" s="1"/>
      <c r="C294" s="1">
        <v>75.0</v>
      </c>
    </row>
    <row r="295">
      <c r="A295" s="1" t="s">
        <v>1444</v>
      </c>
      <c r="B295" s="1"/>
      <c r="C295" s="1">
        <v>75.0</v>
      </c>
    </row>
    <row r="296">
      <c r="A296" s="13" t="s">
        <v>1445</v>
      </c>
      <c r="B296" s="1"/>
      <c r="C296" s="1">
        <v>75.0</v>
      </c>
    </row>
    <row r="297">
      <c r="A297" s="13" t="s">
        <v>1446</v>
      </c>
      <c r="B297" s="1"/>
      <c r="C297" s="1">
        <v>75.0</v>
      </c>
    </row>
    <row r="298">
      <c r="A298" s="13" t="s">
        <v>1447</v>
      </c>
      <c r="B298" s="1"/>
      <c r="C298" s="1">
        <v>120.0</v>
      </c>
    </row>
    <row r="299">
      <c r="A299" s="13" t="s">
        <v>1448</v>
      </c>
      <c r="B299" s="1"/>
      <c r="C299" s="1">
        <v>120.0</v>
      </c>
    </row>
    <row r="300">
      <c r="A300" s="13" t="s">
        <v>1449</v>
      </c>
      <c r="B300" s="1"/>
      <c r="C300" s="1">
        <v>75.0</v>
      </c>
    </row>
    <row r="301">
      <c r="A301" s="13" t="s">
        <v>1450</v>
      </c>
      <c r="B301" s="1"/>
      <c r="C301" s="1">
        <v>75.0</v>
      </c>
    </row>
    <row r="302">
      <c r="A302" s="13" t="s">
        <v>1451</v>
      </c>
      <c r="B302" s="1"/>
      <c r="C302" s="1">
        <v>120.0</v>
      </c>
    </row>
    <row r="303">
      <c r="A303" s="13" t="s">
        <v>1452</v>
      </c>
      <c r="B303" s="1"/>
      <c r="C303" s="1">
        <v>120.0</v>
      </c>
    </row>
    <row r="304">
      <c r="A304" s="13" t="s">
        <v>1453</v>
      </c>
      <c r="B304" s="1"/>
      <c r="C304" s="1">
        <v>120.0</v>
      </c>
    </row>
    <row r="305">
      <c r="A305" s="13" t="s">
        <v>1454</v>
      </c>
      <c r="B305" s="1"/>
      <c r="C305" s="1">
        <v>120.0</v>
      </c>
    </row>
    <row r="306">
      <c r="A306" s="13" t="s">
        <v>1455</v>
      </c>
      <c r="B306" s="1"/>
      <c r="C306" s="1">
        <v>120.0</v>
      </c>
    </row>
    <row r="307">
      <c r="A307" s="13" t="s">
        <v>1456</v>
      </c>
      <c r="B307" s="1"/>
      <c r="C307" s="1">
        <v>120.0</v>
      </c>
    </row>
    <row r="308">
      <c r="A308" s="1" t="s">
        <v>1457</v>
      </c>
      <c r="B308" s="1"/>
      <c r="C308" s="1">
        <v>120.0</v>
      </c>
    </row>
    <row r="309">
      <c r="A309" s="13" t="s">
        <v>1458</v>
      </c>
      <c r="B309" s="1"/>
      <c r="C309" s="1">
        <v>120.0</v>
      </c>
    </row>
    <row r="310">
      <c r="A310" s="13" t="s">
        <v>1459</v>
      </c>
      <c r="B310" s="1"/>
      <c r="C310" s="1">
        <v>120.0</v>
      </c>
    </row>
    <row r="311">
      <c r="A311" s="13" t="s">
        <v>1460</v>
      </c>
      <c r="B311" s="1"/>
      <c r="C311" s="1">
        <v>75.0</v>
      </c>
    </row>
    <row r="312">
      <c r="A312" s="13" t="s">
        <v>1461</v>
      </c>
      <c r="B312" s="1"/>
      <c r="C312" s="1">
        <v>120.0</v>
      </c>
    </row>
    <row r="313">
      <c r="A313" s="1" t="s">
        <v>1462</v>
      </c>
      <c r="B313" s="1"/>
      <c r="C313" s="1">
        <v>120.0</v>
      </c>
    </row>
    <row r="314">
      <c r="A314" s="13" t="s">
        <v>1463</v>
      </c>
      <c r="B314" s="1"/>
      <c r="C314" s="1">
        <v>75.0</v>
      </c>
    </row>
    <row r="315">
      <c r="A315" s="13" t="s">
        <v>1464</v>
      </c>
      <c r="B315" s="1"/>
      <c r="C315" s="1">
        <v>75.0</v>
      </c>
    </row>
    <row r="316">
      <c r="A316" s="13" t="s">
        <v>1465</v>
      </c>
      <c r="B316" s="1"/>
      <c r="C316" s="1">
        <v>75.0</v>
      </c>
    </row>
    <row r="317">
      <c r="A317" s="13" t="s">
        <v>1466</v>
      </c>
      <c r="B317" s="1"/>
      <c r="C317" s="1">
        <v>75.0</v>
      </c>
    </row>
    <row r="318">
      <c r="A318" s="13" t="s">
        <v>1467</v>
      </c>
      <c r="B318" s="1"/>
      <c r="C318" s="1">
        <v>75.0</v>
      </c>
    </row>
    <row r="319">
      <c r="A319" s="13" t="s">
        <v>1468</v>
      </c>
      <c r="B319" s="1"/>
      <c r="C319" s="1">
        <v>75.0</v>
      </c>
    </row>
    <row r="320">
      <c r="A320" s="1" t="s">
        <v>1469</v>
      </c>
      <c r="B320" s="1"/>
      <c r="C320" s="1">
        <v>75.0</v>
      </c>
    </row>
    <row r="321">
      <c r="A321" s="1" t="s">
        <v>1470</v>
      </c>
      <c r="B321" s="1"/>
      <c r="C321" s="1">
        <v>75.0</v>
      </c>
    </row>
    <row r="322">
      <c r="A322" s="13" t="s">
        <v>1471</v>
      </c>
      <c r="B322" s="1"/>
      <c r="C322" s="1">
        <v>75.0</v>
      </c>
    </row>
    <row r="323">
      <c r="A323" s="13" t="s">
        <v>1472</v>
      </c>
      <c r="B323" s="1"/>
      <c r="C323" s="1">
        <v>75.0</v>
      </c>
    </row>
    <row r="324">
      <c r="A324" s="1" t="s">
        <v>1473</v>
      </c>
      <c r="B324" s="1"/>
      <c r="C324" s="1">
        <v>75.0</v>
      </c>
    </row>
    <row r="325">
      <c r="A325" s="1" t="s">
        <v>1474</v>
      </c>
      <c r="B325" s="1"/>
      <c r="C325" s="1">
        <v>50.0</v>
      </c>
    </row>
    <row r="326">
      <c r="A326" s="13" t="s">
        <v>1475</v>
      </c>
      <c r="B326" s="1"/>
      <c r="C326" s="1">
        <v>75.0</v>
      </c>
    </row>
    <row r="327">
      <c r="A327" s="13" t="s">
        <v>1476</v>
      </c>
      <c r="B327" s="1"/>
      <c r="C327" s="1">
        <v>75.0</v>
      </c>
    </row>
    <row r="328">
      <c r="A328" s="13" t="s">
        <v>1477</v>
      </c>
      <c r="B328" s="1"/>
      <c r="C328" s="1">
        <v>41.0</v>
      </c>
    </row>
    <row r="329">
      <c r="A329" s="13" t="s">
        <v>1478</v>
      </c>
      <c r="B329" s="1"/>
      <c r="C329" s="1">
        <v>41.0</v>
      </c>
    </row>
    <row r="330">
      <c r="A330" s="1" t="s">
        <v>1479</v>
      </c>
      <c r="B330" s="1"/>
      <c r="C330" s="1">
        <v>75.0</v>
      </c>
    </row>
    <row r="331">
      <c r="A331" s="1" t="s">
        <v>1480</v>
      </c>
      <c r="B331" s="1"/>
      <c r="C331" s="1">
        <v>120.0</v>
      </c>
    </row>
    <row r="332">
      <c r="A332" s="1" t="s">
        <v>1481</v>
      </c>
      <c r="B332" s="1"/>
      <c r="C332" s="1">
        <v>120.0</v>
      </c>
    </row>
    <row r="333">
      <c r="A333" s="13" t="s">
        <v>1482</v>
      </c>
      <c r="B333" s="1"/>
      <c r="C333" s="1">
        <v>75.0</v>
      </c>
    </row>
    <row r="334">
      <c r="A334" s="13" t="s">
        <v>1483</v>
      </c>
      <c r="B334" s="1"/>
      <c r="C334" s="1">
        <v>75.0</v>
      </c>
    </row>
    <row r="335">
      <c r="A335" s="1" t="s">
        <v>1484</v>
      </c>
      <c r="B335" s="1"/>
      <c r="C335" s="1">
        <v>50.0</v>
      </c>
    </row>
    <row r="336">
      <c r="A336" s="13" t="s">
        <v>1485</v>
      </c>
      <c r="B336" s="1"/>
      <c r="C336" s="1">
        <v>75.0</v>
      </c>
    </row>
    <row r="337">
      <c r="A337" s="13" t="s">
        <v>1486</v>
      </c>
      <c r="B337" s="1"/>
      <c r="C337" s="1">
        <v>75.0</v>
      </c>
    </row>
    <row r="338">
      <c r="A338" s="1" t="s">
        <v>1487</v>
      </c>
      <c r="B338" s="1"/>
      <c r="C338" s="1">
        <v>63.0</v>
      </c>
    </row>
    <row r="339">
      <c r="A339" s="13" t="s">
        <v>1488</v>
      </c>
      <c r="B339" s="1"/>
      <c r="C339" s="1">
        <v>75.0</v>
      </c>
    </row>
    <row r="340">
      <c r="A340" s="13" t="s">
        <v>1489</v>
      </c>
      <c r="B340" s="1"/>
      <c r="C340" s="1">
        <v>75.0</v>
      </c>
    </row>
    <row r="341">
      <c r="A341" s="1" t="s">
        <v>1490</v>
      </c>
      <c r="B341" s="1"/>
      <c r="C341" s="1">
        <v>41.0</v>
      </c>
    </row>
    <row r="342">
      <c r="A342" s="1" t="s">
        <v>1491</v>
      </c>
      <c r="B342" s="1"/>
      <c r="C342" s="1">
        <v>41.0</v>
      </c>
    </row>
    <row r="343">
      <c r="A343" s="13" t="s">
        <v>1492</v>
      </c>
      <c r="B343" s="1"/>
      <c r="C343" s="1">
        <v>75.0</v>
      </c>
    </row>
    <row r="344">
      <c r="A344" s="13" t="s">
        <v>1493</v>
      </c>
      <c r="B344" s="1"/>
      <c r="C344" s="1">
        <v>75.0</v>
      </c>
    </row>
    <row r="345">
      <c r="A345" s="1" t="s">
        <v>1494</v>
      </c>
      <c r="B345" s="1"/>
      <c r="C345" s="1">
        <v>41.0</v>
      </c>
    </row>
    <row r="346">
      <c r="A346" s="1" t="s">
        <v>1495</v>
      </c>
      <c r="B346" s="1"/>
      <c r="C346" s="1">
        <v>41.0</v>
      </c>
    </row>
    <row r="347">
      <c r="A347" s="13" t="s">
        <v>1496</v>
      </c>
      <c r="B347" s="1"/>
      <c r="C347" s="1">
        <v>41.0</v>
      </c>
    </row>
    <row r="348">
      <c r="A348" s="13" t="s">
        <v>1497</v>
      </c>
      <c r="B348" s="1"/>
      <c r="C348" s="1">
        <v>41.0</v>
      </c>
    </row>
    <row r="349">
      <c r="A349" s="1" t="s">
        <v>1498</v>
      </c>
      <c r="B349" s="1"/>
      <c r="C349" s="1">
        <v>41.0</v>
      </c>
    </row>
    <row r="350">
      <c r="A350" s="1" t="s">
        <v>1499</v>
      </c>
      <c r="B350" s="1"/>
      <c r="C350" s="1">
        <v>41.0</v>
      </c>
    </row>
    <row r="351">
      <c r="A351" s="13" t="s">
        <v>1500</v>
      </c>
      <c r="B351" s="1"/>
      <c r="C351" s="1">
        <v>120.0</v>
      </c>
    </row>
    <row r="352">
      <c r="A352" s="13" t="s">
        <v>1501</v>
      </c>
      <c r="B352" s="1"/>
      <c r="C352" s="1">
        <v>120.0</v>
      </c>
    </row>
    <row r="353">
      <c r="A353" s="13" t="s">
        <v>1502</v>
      </c>
      <c r="B353" s="1"/>
      <c r="C353" s="1">
        <v>75.0</v>
      </c>
    </row>
    <row r="354">
      <c r="A354" s="13" t="s">
        <v>1503</v>
      </c>
      <c r="B354" s="1"/>
      <c r="C354" s="1">
        <v>75.0</v>
      </c>
    </row>
    <row r="355">
      <c r="A355" s="1" t="s">
        <v>1504</v>
      </c>
      <c r="B355" s="1"/>
      <c r="C355" s="1">
        <v>41.0</v>
      </c>
    </row>
    <row r="356">
      <c r="A356" s="13" t="s">
        <v>1505</v>
      </c>
      <c r="B356" s="1"/>
      <c r="C356" s="1">
        <v>120.0</v>
      </c>
    </row>
    <row r="357">
      <c r="A357" s="13" t="s">
        <v>1506</v>
      </c>
      <c r="B357" s="1"/>
      <c r="C357" s="1">
        <v>120.0</v>
      </c>
    </row>
    <row r="358">
      <c r="A358" s="13" t="s">
        <v>1507</v>
      </c>
      <c r="B358" s="1"/>
      <c r="C358" s="1">
        <v>50.0</v>
      </c>
    </row>
    <row r="359">
      <c r="A359" s="13" t="s">
        <v>1508</v>
      </c>
      <c r="B359" s="1"/>
      <c r="C359" s="1">
        <v>120.0</v>
      </c>
    </row>
    <row r="360">
      <c r="A360" s="13" t="s">
        <v>1509</v>
      </c>
      <c r="B360" s="1"/>
      <c r="C360" s="1">
        <v>120.0</v>
      </c>
    </row>
    <row r="361">
      <c r="A361" s="13" t="s">
        <v>1510</v>
      </c>
      <c r="B361" s="3"/>
      <c r="C361" s="3">
        <v>120.0</v>
      </c>
    </row>
    <row r="362">
      <c r="A362" s="13" t="s">
        <v>1511</v>
      </c>
      <c r="B362" s="3"/>
      <c r="C362" s="3">
        <v>120.0</v>
      </c>
    </row>
    <row r="363">
      <c r="A363" s="13" t="s">
        <v>1512</v>
      </c>
      <c r="B363" s="1"/>
      <c r="C363" s="1">
        <v>120.0</v>
      </c>
    </row>
    <row r="364">
      <c r="A364" s="13" t="s">
        <v>1513</v>
      </c>
      <c r="B364" s="1"/>
      <c r="C364" s="1">
        <v>120.0</v>
      </c>
    </row>
    <row r="365">
      <c r="A365" s="13" t="s">
        <v>1514</v>
      </c>
      <c r="B365" s="1"/>
      <c r="C365" s="1">
        <v>120.0</v>
      </c>
    </row>
    <row r="366">
      <c r="A366" s="13" t="s">
        <v>1515</v>
      </c>
      <c r="B366" s="1"/>
      <c r="C366" s="1">
        <v>41.0</v>
      </c>
    </row>
    <row r="367">
      <c r="A367" s="1" t="s">
        <v>1516</v>
      </c>
      <c r="B367" s="1"/>
      <c r="C367" s="1">
        <v>75.0</v>
      </c>
    </row>
    <row r="368">
      <c r="A368" s="1" t="s">
        <v>1517</v>
      </c>
      <c r="B368" s="1"/>
      <c r="C368" s="1">
        <v>75.0</v>
      </c>
    </row>
    <row r="369">
      <c r="A369" s="1" t="s">
        <v>1518</v>
      </c>
      <c r="B369" s="1"/>
      <c r="C369" s="1">
        <v>25.0</v>
      </c>
    </row>
    <row r="370">
      <c r="A370" s="13" t="s">
        <v>1519</v>
      </c>
      <c r="B370" s="1"/>
      <c r="C370" s="1">
        <v>75.0</v>
      </c>
    </row>
    <row r="371">
      <c r="A371" s="13" t="s">
        <v>1520</v>
      </c>
      <c r="B371" s="1"/>
      <c r="C371" s="1">
        <v>75.0</v>
      </c>
    </row>
    <row r="372">
      <c r="A372" s="1" t="s">
        <v>1521</v>
      </c>
      <c r="B372" s="1"/>
      <c r="C372" s="1">
        <v>41.0</v>
      </c>
    </row>
    <row r="373">
      <c r="A373" s="13" t="s">
        <v>1522</v>
      </c>
      <c r="B373" s="1"/>
      <c r="C373" s="1">
        <v>120.0</v>
      </c>
    </row>
    <row r="374">
      <c r="A374" s="13" t="s">
        <v>1523</v>
      </c>
      <c r="B374" s="1"/>
      <c r="C374" s="1">
        <v>120.0</v>
      </c>
    </row>
    <row r="375">
      <c r="A375" s="1" t="s">
        <v>1524</v>
      </c>
      <c r="B375" s="1"/>
      <c r="C375" s="1">
        <v>120.0</v>
      </c>
    </row>
    <row r="376">
      <c r="A376" s="13" t="s">
        <v>1525</v>
      </c>
      <c r="B376" s="1"/>
      <c r="C376" s="1">
        <v>120.0</v>
      </c>
    </row>
    <row r="377">
      <c r="A377" s="13" t="s">
        <v>1526</v>
      </c>
      <c r="B377" s="1"/>
      <c r="C377" s="1">
        <v>75.0</v>
      </c>
    </row>
    <row r="378">
      <c r="A378" s="1" t="s">
        <v>1527</v>
      </c>
      <c r="B378" s="1"/>
      <c r="C378" s="1">
        <v>50.0</v>
      </c>
    </row>
    <row r="379">
      <c r="A379" s="1" t="s">
        <v>1528</v>
      </c>
      <c r="B379" s="1"/>
      <c r="C379" s="1">
        <v>120.0</v>
      </c>
    </row>
    <row r="380">
      <c r="A380" s="1" t="s">
        <v>1529</v>
      </c>
      <c r="B380" s="1"/>
      <c r="C380" s="1">
        <v>120.0</v>
      </c>
    </row>
    <row r="381">
      <c r="A381" s="13" t="s">
        <v>1530</v>
      </c>
      <c r="B381" s="1"/>
      <c r="C381" s="1">
        <v>75.0</v>
      </c>
    </row>
    <row r="382">
      <c r="A382" s="13" t="s">
        <v>1531</v>
      </c>
      <c r="B382" s="1"/>
      <c r="C382" s="1">
        <v>75.0</v>
      </c>
    </row>
    <row r="383">
      <c r="A383" s="13" t="s">
        <v>1532</v>
      </c>
      <c r="B383" s="1"/>
      <c r="C383" s="1">
        <v>120.0</v>
      </c>
    </row>
    <row r="384">
      <c r="A384" s="13" t="s">
        <v>1533</v>
      </c>
      <c r="B384" s="1"/>
      <c r="C384" s="1">
        <v>120.0</v>
      </c>
    </row>
    <row r="385">
      <c r="A385" s="13" t="s">
        <v>1534</v>
      </c>
      <c r="B385" s="1"/>
      <c r="C385" s="1">
        <v>41.0</v>
      </c>
    </row>
    <row r="386">
      <c r="A386" s="13" t="s">
        <v>1535</v>
      </c>
      <c r="B386" s="1"/>
      <c r="C386" s="1">
        <v>41.0</v>
      </c>
    </row>
    <row r="387">
      <c r="A387" s="13" t="s">
        <v>1536</v>
      </c>
      <c r="B387" s="1"/>
      <c r="C387" s="1">
        <v>120.0</v>
      </c>
    </row>
    <row r="388">
      <c r="A388" s="13" t="s">
        <v>1537</v>
      </c>
      <c r="B388" s="1"/>
      <c r="C388" s="1">
        <v>120.0</v>
      </c>
    </row>
    <row r="389">
      <c r="A389" s="1" t="s">
        <v>1538</v>
      </c>
      <c r="B389" s="1"/>
      <c r="C389" s="1">
        <v>41.0</v>
      </c>
    </row>
    <row r="390">
      <c r="A390" s="1" t="s">
        <v>1539</v>
      </c>
      <c r="B390" s="1"/>
      <c r="C390" s="1">
        <v>41.0</v>
      </c>
    </row>
    <row r="391">
      <c r="A391" s="1" t="s">
        <v>1540</v>
      </c>
      <c r="B391" s="1"/>
      <c r="C391" s="1">
        <v>41.0</v>
      </c>
    </row>
    <row r="392">
      <c r="A392" s="13" t="s">
        <v>1541</v>
      </c>
      <c r="B392" s="1"/>
      <c r="C392" s="1">
        <v>50.0</v>
      </c>
    </row>
    <row r="393">
      <c r="A393" s="13" t="s">
        <v>1542</v>
      </c>
      <c r="B393" s="1"/>
      <c r="C393" s="1">
        <v>75.0</v>
      </c>
    </row>
    <row r="394">
      <c r="A394" s="1" t="s">
        <v>1543</v>
      </c>
      <c r="B394" s="1"/>
      <c r="C394" s="1">
        <v>75.0</v>
      </c>
    </row>
    <row r="395">
      <c r="A395" s="13" t="s">
        <v>1544</v>
      </c>
      <c r="B395" s="1"/>
      <c r="C395" s="1">
        <v>40.0</v>
      </c>
    </row>
    <row r="396">
      <c r="A396" s="13" t="s">
        <v>1545</v>
      </c>
      <c r="B396" s="1"/>
      <c r="C396" s="1">
        <v>41.0</v>
      </c>
    </row>
    <row r="397">
      <c r="A397" s="1" t="s">
        <v>1546</v>
      </c>
      <c r="B397" s="1"/>
      <c r="C397" s="1">
        <v>41.0</v>
      </c>
    </row>
    <row r="398">
      <c r="A398" s="1" t="s">
        <v>1547</v>
      </c>
      <c r="B398" s="1"/>
      <c r="C398" s="1">
        <v>120.0</v>
      </c>
    </row>
    <row r="399">
      <c r="A399" s="13" t="s">
        <v>1548</v>
      </c>
      <c r="B399" s="1"/>
      <c r="C399" s="1">
        <v>120.0</v>
      </c>
    </row>
    <row r="400">
      <c r="A400" s="13" t="s">
        <v>1549</v>
      </c>
      <c r="B400" s="1"/>
      <c r="C400" s="1">
        <v>120.0</v>
      </c>
    </row>
    <row r="401">
      <c r="A401" s="13" t="s">
        <v>1550</v>
      </c>
      <c r="B401" s="1"/>
      <c r="C401" s="1">
        <v>75.0</v>
      </c>
    </row>
    <row r="402">
      <c r="A402" s="13" t="s">
        <v>1551</v>
      </c>
      <c r="B402" s="1"/>
      <c r="C402" s="1">
        <v>75.0</v>
      </c>
    </row>
    <row r="403">
      <c r="A403" s="1" t="s">
        <v>1552</v>
      </c>
      <c r="B403" s="1"/>
      <c r="C403" s="1">
        <v>75.0</v>
      </c>
    </row>
    <row r="404">
      <c r="A404" s="1" t="s">
        <v>1553</v>
      </c>
      <c r="B404" s="1"/>
      <c r="C404" s="1">
        <v>75.0</v>
      </c>
    </row>
    <row r="405">
      <c r="A405" s="13" t="s">
        <v>1554</v>
      </c>
      <c r="B405" s="1"/>
      <c r="C405" s="1">
        <v>50.0</v>
      </c>
    </row>
    <row r="406">
      <c r="A406" s="13" t="s">
        <v>1555</v>
      </c>
      <c r="B406" s="1"/>
      <c r="C406" s="1">
        <v>50.0</v>
      </c>
    </row>
    <row r="407">
      <c r="A407" s="1" t="s">
        <v>1556</v>
      </c>
      <c r="B407" s="1"/>
      <c r="C407" s="1">
        <v>75.0</v>
      </c>
    </row>
    <row r="408">
      <c r="A408" s="1" t="s">
        <v>1557</v>
      </c>
      <c r="B408" s="1"/>
      <c r="C408" s="1">
        <v>75.0</v>
      </c>
    </row>
    <row r="409">
      <c r="A409" s="13" t="s">
        <v>1558</v>
      </c>
      <c r="B409" s="1"/>
      <c r="C409" s="1">
        <v>75.0</v>
      </c>
    </row>
    <row r="410">
      <c r="A410" s="13" t="s">
        <v>1559</v>
      </c>
      <c r="B410" s="1"/>
      <c r="C410" s="1">
        <v>41.0</v>
      </c>
    </row>
    <row r="411">
      <c r="A411" s="1" t="s">
        <v>1560</v>
      </c>
      <c r="B411" s="1"/>
      <c r="C411" s="1">
        <v>120.0</v>
      </c>
    </row>
    <row r="412">
      <c r="A412" s="13" t="s">
        <v>1561</v>
      </c>
      <c r="B412" s="1"/>
      <c r="C412" s="1">
        <v>64.0</v>
      </c>
    </row>
    <row r="413">
      <c r="A413" s="13" t="s">
        <v>1562</v>
      </c>
      <c r="B413" s="1"/>
      <c r="C413" s="1">
        <v>64.0</v>
      </c>
    </row>
    <row r="414">
      <c r="A414" s="13" t="s">
        <v>1563</v>
      </c>
      <c r="B414" s="1"/>
      <c r="C414" s="1">
        <v>120.0</v>
      </c>
    </row>
    <row r="415">
      <c r="A415" s="13" t="s">
        <v>1564</v>
      </c>
      <c r="B415" s="1"/>
      <c r="C415" s="1">
        <v>120.0</v>
      </c>
    </row>
    <row r="416">
      <c r="A416" s="13" t="s">
        <v>1565</v>
      </c>
      <c r="B416" s="1"/>
      <c r="C416" s="1">
        <v>75.0</v>
      </c>
    </row>
    <row r="417">
      <c r="A417" s="13" t="s">
        <v>1566</v>
      </c>
      <c r="B417" s="1"/>
      <c r="C417" s="1">
        <v>75.0</v>
      </c>
    </row>
    <row r="418">
      <c r="A418" s="1" t="s">
        <v>1567</v>
      </c>
      <c r="B418" s="1"/>
      <c r="C418" s="1">
        <v>75.0</v>
      </c>
    </row>
    <row r="419">
      <c r="A419" s="1" t="s">
        <v>1568</v>
      </c>
      <c r="B419" s="1"/>
      <c r="C419" s="1">
        <v>75.0</v>
      </c>
    </row>
    <row r="420">
      <c r="A420" s="1" t="s">
        <v>1569</v>
      </c>
      <c r="B420" s="1"/>
      <c r="C420" s="1">
        <v>41.0</v>
      </c>
    </row>
    <row r="421">
      <c r="A421" s="1" t="s">
        <v>1570</v>
      </c>
      <c r="B421" s="1"/>
      <c r="C421" s="1">
        <v>75.0</v>
      </c>
    </row>
    <row r="422">
      <c r="A422" s="1" t="s">
        <v>1571</v>
      </c>
      <c r="B422" s="1"/>
      <c r="C422" s="1">
        <v>75.0</v>
      </c>
    </row>
    <row r="423">
      <c r="A423" s="1" t="s">
        <v>1572</v>
      </c>
      <c r="B423" s="1"/>
      <c r="C423" s="1">
        <v>75.0</v>
      </c>
    </row>
    <row r="424">
      <c r="A424" s="1" t="s">
        <v>1573</v>
      </c>
      <c r="B424" s="1"/>
      <c r="C424" s="1">
        <v>120.0</v>
      </c>
    </row>
    <row r="425">
      <c r="A425" s="1" t="s">
        <v>1574</v>
      </c>
      <c r="B425" s="1"/>
      <c r="C425" s="1">
        <v>120.0</v>
      </c>
    </row>
    <row r="426">
      <c r="A426" s="13" t="s">
        <v>1575</v>
      </c>
      <c r="B426" s="1"/>
      <c r="C426" s="1">
        <v>75.0</v>
      </c>
    </row>
    <row r="427">
      <c r="A427" s="13" t="s">
        <v>1576</v>
      </c>
      <c r="B427" s="1"/>
      <c r="C427" s="1">
        <v>75.0</v>
      </c>
    </row>
    <row r="428">
      <c r="A428" s="1" t="s">
        <v>1577</v>
      </c>
      <c r="B428" s="1"/>
      <c r="C428" s="1">
        <v>120.0</v>
      </c>
    </row>
    <row r="429">
      <c r="A429" s="1" t="s">
        <v>1578</v>
      </c>
      <c r="B429" s="1"/>
      <c r="C429" s="1">
        <v>120.0</v>
      </c>
    </row>
    <row r="430">
      <c r="A430" s="13" t="s">
        <v>1579</v>
      </c>
      <c r="B430" s="1"/>
      <c r="C430" s="1">
        <v>120.0</v>
      </c>
    </row>
    <row r="431">
      <c r="A431" s="13" t="s">
        <v>1580</v>
      </c>
      <c r="B431" s="1"/>
      <c r="C431" s="1">
        <v>120.0</v>
      </c>
    </row>
    <row r="432">
      <c r="A432" s="1" t="s">
        <v>1581</v>
      </c>
      <c r="B432" s="1"/>
      <c r="C432" s="1">
        <v>120.0</v>
      </c>
    </row>
    <row r="433">
      <c r="A433" s="13" t="s">
        <v>1582</v>
      </c>
      <c r="B433" s="1"/>
      <c r="C433" s="1">
        <v>75.0</v>
      </c>
    </row>
    <row r="434">
      <c r="A434" s="13" t="s">
        <v>1583</v>
      </c>
      <c r="B434" s="1"/>
      <c r="C434" s="1">
        <v>75.0</v>
      </c>
    </row>
    <row r="435">
      <c r="A435" s="1" t="s">
        <v>1584</v>
      </c>
      <c r="B435" s="1"/>
      <c r="C435" s="1">
        <v>120.0</v>
      </c>
    </row>
    <row r="436">
      <c r="A436" s="1" t="s">
        <v>1585</v>
      </c>
      <c r="B436" s="1"/>
      <c r="C436" s="1">
        <v>120.0</v>
      </c>
    </row>
    <row r="437">
      <c r="A437" s="13" t="s">
        <v>1586</v>
      </c>
      <c r="B437" s="1"/>
      <c r="C437" s="1">
        <v>120.0</v>
      </c>
    </row>
    <row r="438">
      <c r="A438" s="13" t="s">
        <v>1587</v>
      </c>
      <c r="B438" s="1"/>
      <c r="C438" s="1">
        <v>120.0</v>
      </c>
    </row>
    <row r="439">
      <c r="A439" s="1" t="s">
        <v>1588</v>
      </c>
      <c r="B439" s="1"/>
      <c r="C439" s="1">
        <v>75.0</v>
      </c>
    </row>
    <row r="440">
      <c r="A440" s="1" t="s">
        <v>1589</v>
      </c>
      <c r="B440" s="1"/>
      <c r="C440" s="1">
        <v>120.0</v>
      </c>
    </row>
    <row r="441">
      <c r="A441" s="1" t="s">
        <v>1590</v>
      </c>
      <c r="B441" s="1"/>
      <c r="C441" s="1">
        <v>41.0</v>
      </c>
    </row>
    <row r="442">
      <c r="A442" s="1" t="s">
        <v>1591</v>
      </c>
      <c r="B442" s="1"/>
      <c r="C442" s="1">
        <v>41.0</v>
      </c>
    </row>
    <row r="443">
      <c r="A443" s="1" t="s">
        <v>1592</v>
      </c>
      <c r="B443" s="1"/>
      <c r="C443" s="1">
        <v>41.0</v>
      </c>
    </row>
    <row r="444">
      <c r="A444" s="1" t="s">
        <v>1593</v>
      </c>
      <c r="B444" s="1"/>
      <c r="C444" s="1">
        <v>20.0</v>
      </c>
    </row>
    <row r="445">
      <c r="A445" s="1" t="s">
        <v>1594</v>
      </c>
      <c r="B445" s="1"/>
      <c r="C445" s="1">
        <v>75.0</v>
      </c>
    </row>
    <row r="446">
      <c r="A446" s="1" t="s">
        <v>1595</v>
      </c>
      <c r="B446" s="1"/>
      <c r="C446" s="1">
        <v>75.0</v>
      </c>
    </row>
    <row r="447">
      <c r="A447" s="13" t="s">
        <v>1596</v>
      </c>
      <c r="B447" s="1"/>
      <c r="C447" s="1">
        <v>75.0</v>
      </c>
    </row>
    <row r="448">
      <c r="A448" s="13" t="s">
        <v>1597</v>
      </c>
      <c r="B448" s="1"/>
      <c r="C448" s="1">
        <v>75.0</v>
      </c>
    </row>
    <row r="449">
      <c r="A449" s="13" t="s">
        <v>1598</v>
      </c>
      <c r="B449" s="1"/>
      <c r="C449" s="1">
        <v>39.0</v>
      </c>
    </row>
    <row r="450">
      <c r="A450" s="13" t="s">
        <v>1599</v>
      </c>
      <c r="B450" s="1"/>
      <c r="C450" s="1">
        <v>39.0</v>
      </c>
    </row>
    <row r="451">
      <c r="A451" s="13" t="s">
        <v>1600</v>
      </c>
      <c r="B451" s="1"/>
      <c r="C451" s="1">
        <v>83.3</v>
      </c>
    </row>
    <row r="452">
      <c r="A452" s="13" t="s">
        <v>1601</v>
      </c>
      <c r="B452" s="1"/>
      <c r="C452" s="1">
        <v>120.0</v>
      </c>
    </row>
    <row r="453">
      <c r="A453" s="1" t="s">
        <v>1602</v>
      </c>
      <c r="B453" s="1"/>
      <c r="C453" s="1">
        <v>41.0</v>
      </c>
    </row>
    <row r="454">
      <c r="A454" s="1" t="s">
        <v>1603</v>
      </c>
      <c r="B454" s="1"/>
      <c r="C454" s="1">
        <v>41.0</v>
      </c>
    </row>
    <row r="455">
      <c r="A455" s="1" t="s">
        <v>1604</v>
      </c>
      <c r="B455" s="1"/>
      <c r="C455" s="1">
        <v>75.0</v>
      </c>
    </row>
    <row r="456">
      <c r="A456" s="1" t="s">
        <v>1605</v>
      </c>
      <c r="B456" s="1"/>
      <c r="C456" s="1">
        <v>75.0</v>
      </c>
    </row>
    <row r="457">
      <c r="A457" s="13" t="s">
        <v>1606</v>
      </c>
      <c r="B457" s="1"/>
      <c r="C457" s="1">
        <v>75.0</v>
      </c>
    </row>
    <row r="458">
      <c r="A458" s="13" t="s">
        <v>1607</v>
      </c>
      <c r="B458" s="1"/>
      <c r="C458" s="1">
        <v>41.0</v>
      </c>
    </row>
    <row r="459">
      <c r="A459" s="1" t="s">
        <v>1608</v>
      </c>
      <c r="B459" s="1"/>
      <c r="C459" s="1">
        <v>120.0</v>
      </c>
    </row>
    <row r="460">
      <c r="A460" s="1" t="s">
        <v>1609</v>
      </c>
      <c r="B460" s="1"/>
      <c r="C460" s="1">
        <v>120.0</v>
      </c>
    </row>
    <row r="461">
      <c r="A461" s="13" t="s">
        <v>1610</v>
      </c>
      <c r="B461" s="1"/>
      <c r="C461" s="1">
        <v>41.0</v>
      </c>
    </row>
    <row r="462">
      <c r="A462" s="13" t="s">
        <v>1611</v>
      </c>
      <c r="B462" s="1"/>
      <c r="C462" s="1">
        <v>41.0</v>
      </c>
    </row>
    <row r="463">
      <c r="A463" s="13" t="s">
        <v>1612</v>
      </c>
      <c r="B463" s="1"/>
      <c r="C463" s="1">
        <v>75.0</v>
      </c>
    </row>
    <row r="464">
      <c r="A464" s="13" t="s">
        <v>1613</v>
      </c>
      <c r="B464" s="1"/>
      <c r="C464" s="1">
        <v>75.0</v>
      </c>
    </row>
    <row r="465">
      <c r="A465" s="1" t="s">
        <v>1614</v>
      </c>
      <c r="B465" s="1"/>
      <c r="C465" s="1">
        <v>75.0</v>
      </c>
    </row>
    <row r="466">
      <c r="A466" s="13" t="s">
        <v>1615</v>
      </c>
      <c r="B466" s="1"/>
      <c r="C466" s="1">
        <v>120.0</v>
      </c>
    </row>
    <row r="467">
      <c r="A467" s="13" t="s">
        <v>1616</v>
      </c>
      <c r="B467" s="1"/>
      <c r="C467" s="1">
        <v>120.0</v>
      </c>
    </row>
    <row r="468">
      <c r="A468" s="1" t="s">
        <v>1617</v>
      </c>
      <c r="B468" s="1"/>
      <c r="C468" s="1">
        <v>75.0</v>
      </c>
    </row>
    <row r="469">
      <c r="A469" s="1" t="s">
        <v>1618</v>
      </c>
      <c r="B469" s="1"/>
      <c r="C469" s="1">
        <v>120.0</v>
      </c>
    </row>
    <row r="470">
      <c r="A470" s="1" t="s">
        <v>1619</v>
      </c>
      <c r="B470" s="1"/>
      <c r="C470" s="1">
        <v>120.0</v>
      </c>
    </row>
    <row r="471">
      <c r="A471" s="13" t="s">
        <v>1620</v>
      </c>
      <c r="B471" s="1"/>
      <c r="C471" s="1">
        <v>120.0</v>
      </c>
    </row>
    <row r="472">
      <c r="A472" s="13" t="s">
        <v>1621</v>
      </c>
      <c r="B472" s="1"/>
      <c r="C472" s="1">
        <v>120.0</v>
      </c>
    </row>
    <row r="473">
      <c r="A473" s="13" t="s">
        <v>1622</v>
      </c>
      <c r="B473" s="1"/>
      <c r="C473" s="1">
        <v>50.0</v>
      </c>
    </row>
    <row r="474">
      <c r="A474" s="13" t="s">
        <v>1623</v>
      </c>
      <c r="B474" s="1"/>
      <c r="C474" s="1">
        <v>50.0</v>
      </c>
    </row>
    <row r="475">
      <c r="A475" s="1" t="s">
        <v>1624</v>
      </c>
      <c r="B475" s="1"/>
      <c r="C475" s="1">
        <v>50.0</v>
      </c>
    </row>
    <row r="476">
      <c r="A476" s="13" t="s">
        <v>1625</v>
      </c>
      <c r="B476" s="1"/>
      <c r="C476" s="1">
        <v>120.0</v>
      </c>
    </row>
    <row r="477">
      <c r="A477" s="13" t="s">
        <v>1626</v>
      </c>
      <c r="B477" s="1"/>
      <c r="C477" s="1">
        <v>120.0</v>
      </c>
    </row>
    <row r="478">
      <c r="A478" s="1" t="s">
        <v>1627</v>
      </c>
      <c r="B478" s="1"/>
      <c r="C478" s="1">
        <v>120.0</v>
      </c>
    </row>
    <row r="479">
      <c r="A479" s="1" t="s">
        <v>1628</v>
      </c>
      <c r="B479" s="1"/>
      <c r="C479" s="1">
        <v>120.0</v>
      </c>
    </row>
    <row r="480">
      <c r="A480" s="1" t="s">
        <v>1629</v>
      </c>
      <c r="B480" s="1"/>
      <c r="C480" s="1">
        <v>120.0</v>
      </c>
    </row>
    <row r="481">
      <c r="A481" s="13" t="s">
        <v>1630</v>
      </c>
      <c r="B481" s="1"/>
      <c r="C481" s="1">
        <v>120.0</v>
      </c>
    </row>
    <row r="482">
      <c r="A482" s="13" t="s">
        <v>1631</v>
      </c>
      <c r="B482" s="1"/>
      <c r="C482" s="1">
        <v>120.0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33.25"/>
    <col customWidth="1" min="3" max="3" width="9.38"/>
    <col customWidth="1" min="4" max="5" width="14.13"/>
    <col customWidth="1" min="6" max="6" width="18.25"/>
    <col customWidth="1" min="7" max="7" width="20.75"/>
  </cols>
  <sheetData>
    <row r="1">
      <c r="A1" s="1" t="s">
        <v>0</v>
      </c>
      <c r="B1" s="1"/>
      <c r="C1" s="1"/>
      <c r="D1" s="1"/>
      <c r="E1" s="1"/>
      <c r="F1" s="1"/>
    </row>
    <row r="2">
      <c r="A2" s="1" t="s">
        <v>1632</v>
      </c>
      <c r="B2" s="1" t="s">
        <v>1633</v>
      </c>
      <c r="C2" s="1" t="s">
        <v>1634</v>
      </c>
      <c r="D2" s="1" t="s">
        <v>1635</v>
      </c>
      <c r="E2" s="1" t="s">
        <v>1146</v>
      </c>
      <c r="F2" s="1" t="s">
        <v>1636</v>
      </c>
      <c r="G2" s="1" t="s">
        <v>10</v>
      </c>
    </row>
    <row r="3">
      <c r="A3" s="1"/>
      <c r="B3" s="1" t="s">
        <v>3</v>
      </c>
      <c r="C3" s="1"/>
      <c r="D3" s="1"/>
      <c r="E3" s="1" t="s">
        <v>1150</v>
      </c>
      <c r="F3" s="1" t="s">
        <v>13</v>
      </c>
      <c r="G3" s="1" t="s">
        <v>1637</v>
      </c>
    </row>
    <row r="4">
      <c r="A4" s="1" t="s">
        <v>1638</v>
      </c>
      <c r="B4" s="1" t="s">
        <v>1639</v>
      </c>
      <c r="C4" s="1" t="s">
        <v>1640</v>
      </c>
      <c r="D4" s="1"/>
      <c r="E4" s="1"/>
      <c r="F4" s="1">
        <v>260.0</v>
      </c>
      <c r="G4" s="1"/>
    </row>
    <row r="5">
      <c r="A5" s="1"/>
      <c r="B5" s="1" t="s">
        <v>1641</v>
      </c>
      <c r="C5" s="1" t="s">
        <v>1640</v>
      </c>
      <c r="D5" s="1"/>
      <c r="E5" s="1"/>
      <c r="F5" s="1">
        <v>240.0</v>
      </c>
      <c r="G5" s="1"/>
    </row>
    <row r="6">
      <c r="A6" s="1"/>
      <c r="B6" s="1" t="s">
        <v>1642</v>
      </c>
      <c r="C6" s="1" t="s">
        <v>1643</v>
      </c>
      <c r="D6" s="1"/>
      <c r="E6" s="1"/>
      <c r="F6" s="1">
        <v>190.0</v>
      </c>
      <c r="G6" s="1"/>
    </row>
    <row r="7">
      <c r="A7" s="1"/>
      <c r="B7" s="1" t="s">
        <v>1644</v>
      </c>
      <c r="C7" s="1" t="s">
        <v>1640</v>
      </c>
      <c r="D7" s="1"/>
      <c r="E7" s="1"/>
      <c r="F7" s="1">
        <v>365.0</v>
      </c>
      <c r="G7" s="1"/>
    </row>
    <row r="8">
      <c r="A8" s="1"/>
      <c r="B8" s="1" t="s">
        <v>1645</v>
      </c>
      <c r="C8" s="1" t="s">
        <v>1646</v>
      </c>
      <c r="D8" s="1"/>
      <c r="E8" s="1"/>
      <c r="F8" s="1">
        <v>97.7</v>
      </c>
      <c r="G8" s="1"/>
    </row>
    <row r="9">
      <c r="A9" s="1"/>
      <c r="B9" s="1" t="s">
        <v>1647</v>
      </c>
      <c r="C9" s="1" t="s">
        <v>1643</v>
      </c>
      <c r="D9" s="1"/>
      <c r="E9" s="1"/>
      <c r="F9" s="1">
        <v>20.0</v>
      </c>
      <c r="G9" s="1"/>
    </row>
    <row r="10">
      <c r="A10" s="1"/>
      <c r="B10" s="1" t="s">
        <v>1648</v>
      </c>
      <c r="C10" s="1" t="s">
        <v>1640</v>
      </c>
      <c r="D10" s="1"/>
      <c r="E10" s="1"/>
      <c r="F10" s="1">
        <v>412.0</v>
      </c>
      <c r="G10" s="1"/>
    </row>
    <row r="11">
      <c r="A11" s="1"/>
      <c r="B11" s="1" t="s">
        <v>1649</v>
      </c>
      <c r="C11" s="1" t="s">
        <v>1640</v>
      </c>
      <c r="D11" s="1"/>
      <c r="E11" s="1"/>
      <c r="F11" s="1">
        <v>450.0</v>
      </c>
      <c r="G11" s="1"/>
    </row>
    <row r="12">
      <c r="A12" s="1"/>
      <c r="B12" s="1" t="s">
        <v>1650</v>
      </c>
      <c r="C12" s="1" t="s">
        <v>1640</v>
      </c>
      <c r="D12" s="1"/>
      <c r="E12" s="1"/>
      <c r="F12" s="1">
        <v>335.0</v>
      </c>
      <c r="G12" s="1"/>
    </row>
    <row r="13">
      <c r="A13" s="1"/>
      <c r="B13" s="1" t="s">
        <v>1651</v>
      </c>
      <c r="C13" s="1"/>
      <c r="D13" s="1"/>
      <c r="E13" s="1"/>
      <c r="F13" s="1">
        <v>55.0</v>
      </c>
      <c r="G13" s="1"/>
    </row>
    <row r="14">
      <c r="A14" s="1"/>
      <c r="B14" s="1" t="s">
        <v>1652</v>
      </c>
      <c r="C14" s="1"/>
      <c r="D14" s="1"/>
      <c r="E14" s="1"/>
      <c r="F14" s="1">
        <v>115.0</v>
      </c>
      <c r="G14" s="1"/>
    </row>
    <row r="15">
      <c r="A15" s="1"/>
      <c r="B15" s="1" t="s">
        <v>1653</v>
      </c>
      <c r="C15" s="1"/>
      <c r="D15" s="1"/>
      <c r="E15" s="1"/>
      <c r="F15" s="1">
        <v>210.0</v>
      </c>
      <c r="G15" s="1"/>
    </row>
    <row r="16">
      <c r="A16" s="1"/>
      <c r="B16" s="1" t="s">
        <v>1654</v>
      </c>
      <c r="C16" s="1" t="s">
        <v>1640</v>
      </c>
      <c r="D16" s="1"/>
      <c r="E16" s="1"/>
      <c r="F16" s="1">
        <v>335.0</v>
      </c>
      <c r="G16" s="1"/>
    </row>
    <row r="17">
      <c r="A17" s="1"/>
      <c r="B17" s="1" t="s">
        <v>1655</v>
      </c>
      <c r="C17" s="1"/>
      <c r="D17" s="1"/>
      <c r="E17" s="1"/>
      <c r="F17" s="1">
        <v>102.0</v>
      </c>
      <c r="G17" s="1"/>
    </row>
    <row r="18">
      <c r="A18" s="1"/>
      <c r="B18" s="1" t="s">
        <v>1656</v>
      </c>
      <c r="C18" s="1"/>
      <c r="D18" s="1"/>
      <c r="E18" s="1"/>
      <c r="F18" s="1">
        <v>53.97</v>
      </c>
      <c r="G18" s="1"/>
    </row>
    <row r="19">
      <c r="A19" s="1"/>
      <c r="B19" s="1" t="s">
        <v>1657</v>
      </c>
      <c r="C19" s="1"/>
      <c r="D19" s="1"/>
      <c r="E19" s="1"/>
      <c r="F19" s="1">
        <v>149.36</v>
      </c>
      <c r="G19" s="1"/>
    </row>
    <row r="20">
      <c r="A20" s="1"/>
      <c r="B20" s="1" t="s">
        <v>1658</v>
      </c>
      <c r="C20" s="1"/>
      <c r="D20" s="1"/>
      <c r="E20" s="1"/>
      <c r="F20" s="1">
        <v>55.0</v>
      </c>
      <c r="G20" s="1"/>
    </row>
    <row r="21">
      <c r="A21" s="1"/>
      <c r="B21" s="1" t="s">
        <v>1659</v>
      </c>
      <c r="C21" s="1"/>
      <c r="D21" s="1"/>
      <c r="E21" s="1"/>
      <c r="F21" s="1">
        <v>55.0</v>
      </c>
      <c r="G21" s="1"/>
    </row>
    <row r="22">
      <c r="A22" s="1"/>
      <c r="B22" s="1" t="s">
        <v>1660</v>
      </c>
      <c r="C22" s="1"/>
      <c r="D22" s="1"/>
      <c r="E22" s="1"/>
      <c r="F22" s="1">
        <v>33.75</v>
      </c>
      <c r="G22" s="1"/>
    </row>
    <row r="23">
      <c r="A23" s="1"/>
      <c r="B23" s="1" t="s">
        <v>1661</v>
      </c>
      <c r="C23" s="1"/>
      <c r="D23" s="1"/>
      <c r="E23" s="1"/>
      <c r="F23" s="1">
        <v>23.0</v>
      </c>
      <c r="G23" s="1"/>
    </row>
    <row r="24">
      <c r="A24" s="1"/>
      <c r="B24" s="1" t="s">
        <v>1662</v>
      </c>
      <c r="C24" s="1"/>
      <c r="D24" s="1"/>
      <c r="E24" s="1"/>
      <c r="F24" s="1">
        <v>52.194</v>
      </c>
      <c r="G24" s="1"/>
    </row>
    <row r="25">
      <c r="A25" s="1"/>
      <c r="B25" s="1" t="s">
        <v>1663</v>
      </c>
      <c r="C25" s="1"/>
      <c r="D25" s="1"/>
      <c r="E25" s="1"/>
      <c r="F25" s="1">
        <v>105.0</v>
      </c>
      <c r="G25" s="1"/>
    </row>
    <row r="26">
      <c r="A26" s="1"/>
      <c r="B26" s="1" t="s">
        <v>1664</v>
      </c>
      <c r="C26" s="1"/>
      <c r="D26" s="1"/>
      <c r="E26" s="1"/>
      <c r="F26" s="1">
        <v>300.0</v>
      </c>
      <c r="G26" s="1"/>
    </row>
    <row r="27">
      <c r="A27" s="1"/>
      <c r="B27" s="1" t="s">
        <v>1665</v>
      </c>
      <c r="C27" s="1"/>
      <c r="D27" s="1"/>
      <c r="E27" s="1"/>
      <c r="F27" s="1">
        <v>149.0</v>
      </c>
      <c r="G27" s="1"/>
    </row>
    <row r="28">
      <c r="A28" s="1"/>
      <c r="B28" s="1" t="s">
        <v>1666</v>
      </c>
      <c r="C28" s="1"/>
      <c r="D28" s="1"/>
      <c r="E28" s="1"/>
      <c r="F28" s="1">
        <v>105.0</v>
      </c>
      <c r="G28" s="1"/>
    </row>
    <row r="29">
      <c r="A29" s="1"/>
      <c r="B29" s="1" t="s">
        <v>1667</v>
      </c>
      <c r="C29" s="1"/>
      <c r="D29" s="1"/>
      <c r="E29" s="1"/>
      <c r="F29" s="1">
        <v>104.0</v>
      </c>
      <c r="G29" s="1"/>
    </row>
    <row r="30">
      <c r="A30" s="1"/>
      <c r="B30" s="1" t="s">
        <v>1668</v>
      </c>
      <c r="C30" s="1"/>
      <c r="D30" s="1"/>
      <c r="E30" s="1"/>
      <c r="F30" s="1">
        <v>162.0</v>
      </c>
      <c r="G30" s="1"/>
    </row>
    <row r="31">
      <c r="A31" s="1"/>
      <c r="B31" s="1" t="s">
        <v>1669</v>
      </c>
      <c r="C31" s="1"/>
      <c r="D31" s="1"/>
      <c r="E31" s="1"/>
      <c r="F31" s="1">
        <v>35.0</v>
      </c>
      <c r="G31" s="1"/>
    </row>
    <row r="32">
      <c r="A32" s="1"/>
      <c r="B32" s="1" t="s">
        <v>1670</v>
      </c>
      <c r="C32" s="1"/>
      <c r="D32" s="1"/>
      <c r="E32" s="1"/>
      <c r="F32" s="1">
        <v>55.0</v>
      </c>
      <c r="G32" s="1"/>
    </row>
    <row r="33">
      <c r="A33" s="1"/>
      <c r="B33" s="1" t="s">
        <v>1671</v>
      </c>
      <c r="C33" s="1"/>
      <c r="D33" s="1"/>
      <c r="E33" s="1"/>
      <c r="F33" s="1">
        <v>584.0</v>
      </c>
      <c r="G33" s="1"/>
    </row>
    <row r="34">
      <c r="A34" s="1"/>
      <c r="B34" s="1" t="s">
        <v>1672</v>
      </c>
      <c r="C34" s="1" t="s">
        <v>1640</v>
      </c>
      <c r="D34" s="1"/>
      <c r="E34" s="1"/>
      <c r="F34" s="1">
        <v>583.0</v>
      </c>
      <c r="G34" s="1"/>
    </row>
    <row r="35">
      <c r="A35" s="1"/>
      <c r="B35" s="1" t="s">
        <v>1673</v>
      </c>
      <c r="C35" s="1"/>
      <c r="D35" s="1"/>
      <c r="E35" s="1"/>
      <c r="F35" s="1">
        <v>718.0</v>
      </c>
      <c r="G35" s="1"/>
    </row>
    <row r="36">
      <c r="A36" s="1"/>
      <c r="B36" s="1" t="s">
        <v>1674</v>
      </c>
      <c r="C36" s="1"/>
      <c r="D36" s="1"/>
      <c r="E36" s="1"/>
      <c r="F36" s="1">
        <v>160.0</v>
      </c>
      <c r="G36" s="1"/>
    </row>
    <row r="37">
      <c r="A37" s="1" t="s">
        <v>1675</v>
      </c>
      <c r="B37" s="1" t="s">
        <v>1676</v>
      </c>
      <c r="C37" s="1"/>
      <c r="D37" s="1"/>
      <c r="E37" s="1"/>
      <c r="F37" s="1">
        <v>360.0</v>
      </c>
      <c r="G37" s="1"/>
    </row>
    <row r="38">
      <c r="B38" s="1" t="s">
        <v>1677</v>
      </c>
      <c r="C38" s="1"/>
      <c r="D38" s="1"/>
      <c r="E38" s="1"/>
      <c r="F38" s="1">
        <v>25.5</v>
      </c>
      <c r="G38" s="1"/>
    </row>
    <row r="39">
      <c r="B39" s="1" t="s">
        <v>1678</v>
      </c>
      <c r="C39" s="1"/>
      <c r="D39" s="1"/>
      <c r="E39" s="1"/>
      <c r="F39" s="1">
        <v>20.0</v>
      </c>
      <c r="G39" s="1"/>
    </row>
    <row r="40">
      <c r="B40" s="1" t="s">
        <v>1679</v>
      </c>
      <c r="C40" s="1"/>
      <c r="D40" s="1"/>
      <c r="E40" s="1"/>
      <c r="F40" s="1">
        <v>50.0</v>
      </c>
      <c r="G40" s="1"/>
    </row>
    <row r="41">
      <c r="B41" s="1" t="s">
        <v>1680</v>
      </c>
      <c r="C41" s="1"/>
      <c r="D41" s="1"/>
      <c r="E41" s="1"/>
      <c r="F41" s="1">
        <v>230.0</v>
      </c>
      <c r="G41" s="1"/>
    </row>
    <row r="42">
      <c r="B42" s="1" t="s">
        <v>1681</v>
      </c>
      <c r="C42" s="1"/>
      <c r="D42" s="1"/>
      <c r="E42" s="1"/>
      <c r="F42" s="1">
        <v>225.0</v>
      </c>
      <c r="G42" s="1"/>
    </row>
    <row r="43">
      <c r="B43" s="1" t="s">
        <v>1682</v>
      </c>
      <c r="C43" s="1"/>
      <c r="D43" s="1"/>
      <c r="E43" s="1"/>
      <c r="F43" s="1">
        <v>150.0</v>
      </c>
      <c r="G43" s="1"/>
    </row>
    <row r="44">
      <c r="B44" s="1" t="s">
        <v>1683</v>
      </c>
      <c r="C44" s="1"/>
      <c r="D44" s="1"/>
      <c r="E44" s="1"/>
      <c r="F44" s="1">
        <v>105.0</v>
      </c>
      <c r="G44" s="1"/>
    </row>
    <row r="45">
      <c r="B45" s="1" t="s">
        <v>1684</v>
      </c>
      <c r="C45" s="1"/>
      <c r="D45" s="1"/>
      <c r="E45" s="1"/>
      <c r="F45" s="1">
        <v>98.0</v>
      </c>
      <c r="G45" s="1"/>
    </row>
    <row r="46">
      <c r="B46" s="1" t="s">
        <v>1685</v>
      </c>
      <c r="C46" s="1"/>
      <c r="D46" s="1"/>
      <c r="E46" s="1"/>
      <c r="F46" s="1">
        <v>102.0</v>
      </c>
      <c r="G46" s="1"/>
    </row>
    <row r="47">
      <c r="B47" s="1" t="s">
        <v>1686</v>
      </c>
      <c r="C47" s="1"/>
      <c r="D47" s="1"/>
      <c r="E47" s="1"/>
      <c r="F47" s="1">
        <v>100.0</v>
      </c>
      <c r="G47" s="1"/>
    </row>
    <row r="48">
      <c r="B48" s="1" t="s">
        <v>1687</v>
      </c>
      <c r="C48" s="1"/>
      <c r="D48" s="1"/>
      <c r="E48" s="1"/>
      <c r="F48" s="1">
        <v>42.0</v>
      </c>
      <c r="G48" s="1"/>
    </row>
    <row r="49">
      <c r="B49" s="1" t="s">
        <v>1688</v>
      </c>
      <c r="C49" s="1"/>
      <c r="D49" s="1"/>
      <c r="E49" s="1"/>
      <c r="F49" s="1">
        <v>108.0</v>
      </c>
      <c r="G49" s="1"/>
    </row>
    <row r="50">
      <c r="B50" s="1" t="s">
        <v>1689</v>
      </c>
      <c r="C50" s="1"/>
      <c r="D50" s="1"/>
      <c r="E50" s="1"/>
      <c r="F50" s="1">
        <v>6.0</v>
      </c>
      <c r="G50" s="1"/>
    </row>
    <row r="51">
      <c r="B51" s="1" t="s">
        <v>1690</v>
      </c>
      <c r="C51" s="1"/>
      <c r="D51" s="1"/>
      <c r="E51" s="1"/>
      <c r="F51" s="1">
        <v>300.0</v>
      </c>
      <c r="G51" s="1"/>
    </row>
    <row r="52">
      <c r="B52" s="1" t="s">
        <v>1691</v>
      </c>
      <c r="C52" s="1"/>
      <c r="D52" s="1"/>
      <c r="E52" s="1"/>
      <c r="F52" s="1">
        <v>54.363</v>
      </c>
      <c r="G52" s="1"/>
    </row>
    <row r="53">
      <c r="B53" s="1" t="s">
        <v>1692</v>
      </c>
      <c r="C53" s="1"/>
      <c r="D53" s="1"/>
      <c r="E53" s="1"/>
      <c r="F53" s="1">
        <v>110.0</v>
      </c>
      <c r="G53" s="1"/>
    </row>
    <row r="54">
      <c r="B54" s="1" t="s">
        <v>1693</v>
      </c>
      <c r="C54" s="1"/>
      <c r="D54" s="1"/>
      <c r="E54" s="1"/>
      <c r="F54" s="1">
        <v>100.0</v>
      </c>
      <c r="G54" s="1"/>
    </row>
    <row r="55">
      <c r="B55" s="1" t="s">
        <v>1694</v>
      </c>
      <c r="C55" s="1"/>
      <c r="D55" s="1"/>
      <c r="E55" s="1"/>
      <c r="F55" s="1">
        <v>116.0</v>
      </c>
      <c r="G55" s="1"/>
    </row>
    <row r="56">
      <c r="B56" s="1" t="s">
        <v>1695</v>
      </c>
      <c r="C56" s="1"/>
      <c r="D56" s="1"/>
      <c r="E56" s="1"/>
      <c r="F56" s="1">
        <v>163.0</v>
      </c>
      <c r="G56" s="1"/>
    </row>
    <row r="57">
      <c r="B57" s="1" t="s">
        <v>1696</v>
      </c>
      <c r="C57" s="1"/>
      <c r="D57" s="1"/>
      <c r="E57" s="1"/>
      <c r="F57" s="1">
        <v>1224.0</v>
      </c>
      <c r="G57" s="1"/>
    </row>
    <row r="58">
      <c r="B58" s="1" t="s">
        <v>1697</v>
      </c>
      <c r="C58" s="1"/>
      <c r="D58" s="1"/>
      <c r="E58" s="1"/>
      <c r="F58" s="1">
        <v>60.0</v>
      </c>
      <c r="G58" s="1"/>
    </row>
    <row r="59">
      <c r="B59" s="1" t="s">
        <v>1698</v>
      </c>
      <c r="C59" s="1"/>
      <c r="D59" s="1"/>
      <c r="E59" s="1"/>
      <c r="F59" s="1">
        <v>1150.0</v>
      </c>
      <c r="G59" s="1"/>
    </row>
    <row r="60">
      <c r="A60" s="1" t="s">
        <v>1699</v>
      </c>
      <c r="B60" s="1" t="s">
        <v>1700</v>
      </c>
      <c r="C60" s="1" t="s">
        <v>1640</v>
      </c>
      <c r="F60" s="1">
        <v>221.0</v>
      </c>
      <c r="G60" s="1"/>
    </row>
    <row r="61">
      <c r="B61" s="1" t="s">
        <v>1701</v>
      </c>
      <c r="C61" s="1" t="s">
        <v>1640</v>
      </c>
      <c r="F61" s="1">
        <v>350.01</v>
      </c>
      <c r="G61" s="1"/>
    </row>
    <row r="62">
      <c r="B62" s="1" t="s">
        <v>1702</v>
      </c>
      <c r="C62" s="1" t="s">
        <v>1640</v>
      </c>
      <c r="F62" s="1">
        <v>342.01</v>
      </c>
      <c r="G62" s="1"/>
    </row>
    <row r="63">
      <c r="B63" s="1" t="s">
        <v>1703</v>
      </c>
      <c r="C63" s="1" t="s">
        <v>1640</v>
      </c>
      <c r="F63" s="1">
        <v>393.0</v>
      </c>
      <c r="G63" s="1"/>
    </row>
    <row r="64">
      <c r="B64" s="1" t="s">
        <v>1704</v>
      </c>
      <c r="F64" s="1">
        <v>46.701</v>
      </c>
      <c r="G64" s="1"/>
    </row>
    <row r="65">
      <c r="B65" s="1" t="s">
        <v>1705</v>
      </c>
      <c r="F65" s="1">
        <v>52.824</v>
      </c>
      <c r="G65" s="1"/>
    </row>
    <row r="66">
      <c r="B66" s="1" t="s">
        <v>1706</v>
      </c>
      <c r="F66" s="1">
        <v>195.0</v>
      </c>
      <c r="G66" s="1"/>
    </row>
    <row r="67">
      <c r="B67" s="1" t="s">
        <v>1707</v>
      </c>
      <c r="F67" s="1">
        <v>51.0</v>
      </c>
      <c r="G67" s="1"/>
    </row>
    <row r="68">
      <c r="B68" s="1" t="s">
        <v>1708</v>
      </c>
      <c r="F68" s="1">
        <v>150.0</v>
      </c>
      <c r="G68" s="1"/>
    </row>
    <row r="69">
      <c r="B69" s="1" t="s">
        <v>1709</v>
      </c>
      <c r="F69" s="1">
        <v>52.0</v>
      </c>
      <c r="G69" s="1"/>
    </row>
    <row r="70">
      <c r="B70" s="1" t="s">
        <v>1710</v>
      </c>
      <c r="F70" s="1">
        <v>163.0</v>
      </c>
      <c r="G70" s="1"/>
    </row>
    <row r="71">
      <c r="B71" s="1" t="s">
        <v>1711</v>
      </c>
      <c r="F71" s="1">
        <v>200.0</v>
      </c>
      <c r="G71" s="1"/>
    </row>
    <row r="72">
      <c r="B72" s="1" t="s">
        <v>1712</v>
      </c>
      <c r="F72" s="1">
        <v>52.2</v>
      </c>
      <c r="G72" s="1"/>
    </row>
    <row r="73">
      <c r="B73" s="1" t="s">
        <v>1713</v>
      </c>
      <c r="F73" s="1">
        <v>25.0</v>
      </c>
      <c r="G73" s="1"/>
    </row>
    <row r="74">
      <c r="B74" s="1" t="s">
        <v>1714</v>
      </c>
      <c r="F74" s="1">
        <v>114.0</v>
      </c>
      <c r="G74" s="1"/>
    </row>
    <row r="75">
      <c r="B75" s="1" t="s">
        <v>1715</v>
      </c>
      <c r="F75" s="1">
        <v>113.0</v>
      </c>
      <c r="G75" s="1"/>
    </row>
    <row r="76">
      <c r="B76" s="1" t="s">
        <v>1716</v>
      </c>
      <c r="F76" s="1">
        <v>115.0</v>
      </c>
      <c r="G76" s="1"/>
    </row>
    <row r="77">
      <c r="B77" s="1" t="s">
        <v>1717</v>
      </c>
      <c r="F77" s="1">
        <v>75.0</v>
      </c>
      <c r="G77" s="1"/>
    </row>
    <row r="78">
      <c r="A78" s="1" t="s">
        <v>1718</v>
      </c>
      <c r="B78" s="1" t="s">
        <v>1719</v>
      </c>
      <c r="C78" s="1" t="s">
        <v>1640</v>
      </c>
      <c r="F78" s="1">
        <v>210.0</v>
      </c>
      <c r="G78" s="1"/>
    </row>
    <row r="79">
      <c r="B79" s="1" t="s">
        <v>1720</v>
      </c>
      <c r="F79" s="1">
        <v>2.71</v>
      </c>
      <c r="G79" s="1"/>
    </row>
    <row r="80">
      <c r="B80" s="1" t="s">
        <v>1721</v>
      </c>
      <c r="F80" s="1">
        <v>200.0</v>
      </c>
      <c r="G80" s="1"/>
    </row>
    <row r="81">
      <c r="B81" s="1" t="s">
        <v>1722</v>
      </c>
      <c r="F81" s="1">
        <v>115.0</v>
      </c>
      <c r="G81" s="1"/>
    </row>
    <row r="82">
      <c r="B82" s="1" t="s">
        <v>1723</v>
      </c>
      <c r="F82" s="1">
        <v>50.0</v>
      </c>
      <c r="G82" s="1"/>
    </row>
    <row r="83">
      <c r="B83" s="1" t="s">
        <v>1724</v>
      </c>
      <c r="F83" s="1">
        <v>22.0</v>
      </c>
      <c r="G83" s="1"/>
    </row>
    <row r="84">
      <c r="B84" s="1" t="s">
        <v>1725</v>
      </c>
      <c r="F84" s="1">
        <v>54.5</v>
      </c>
      <c r="G84" s="1"/>
    </row>
    <row r="85">
      <c r="A85" s="1" t="s">
        <v>1726</v>
      </c>
      <c r="B85" s="1" t="s">
        <v>1727</v>
      </c>
      <c r="F85" s="1">
        <v>0.0</v>
      </c>
      <c r="G85" s="1"/>
    </row>
    <row r="86">
      <c r="B86" s="1" t="s">
        <v>1728</v>
      </c>
      <c r="C86" s="1" t="s">
        <v>1640</v>
      </c>
      <c r="F86" s="1">
        <v>90.0</v>
      </c>
      <c r="G86" s="1"/>
    </row>
    <row r="87">
      <c r="B87" s="1" t="s">
        <v>1729</v>
      </c>
      <c r="C87" s="1" t="s">
        <v>1640</v>
      </c>
      <c r="F87" s="1">
        <v>90.0</v>
      </c>
      <c r="G87" s="1"/>
    </row>
    <row r="88">
      <c r="B88" s="1" t="s">
        <v>1730</v>
      </c>
      <c r="C88" s="1" t="s">
        <v>1640</v>
      </c>
      <c r="F88" s="1">
        <v>163.0</v>
      </c>
      <c r="G88" s="1"/>
    </row>
    <row r="89">
      <c r="B89" s="1" t="s">
        <v>1731</v>
      </c>
      <c r="C89" s="1" t="s">
        <v>1640</v>
      </c>
      <c r="F89" s="1">
        <v>330.0</v>
      </c>
      <c r="G89" s="1"/>
    </row>
    <row r="90">
      <c r="B90" s="1" t="s">
        <v>1732</v>
      </c>
      <c r="F90" s="1">
        <v>66.0</v>
      </c>
      <c r="G90" s="1"/>
    </row>
    <row r="91">
      <c r="B91" s="1" t="s">
        <v>1733</v>
      </c>
      <c r="F91" s="1">
        <v>86.0</v>
      </c>
      <c r="G91" s="1"/>
    </row>
    <row r="92">
      <c r="B92" s="1" t="s">
        <v>1734</v>
      </c>
      <c r="F92" s="1">
        <v>100.0</v>
      </c>
      <c r="G92" s="1"/>
    </row>
    <row r="93">
      <c r="B93" s="1" t="s">
        <v>1735</v>
      </c>
      <c r="C93" s="1" t="s">
        <v>1640</v>
      </c>
      <c r="F93" s="1">
        <v>231.0</v>
      </c>
      <c r="G93" s="1"/>
    </row>
    <row r="94">
      <c r="B94" s="1" t="s">
        <v>1736</v>
      </c>
      <c r="F94" s="1">
        <v>20.0</v>
      </c>
      <c r="G94" s="1"/>
    </row>
    <row r="95">
      <c r="B95" s="1" t="s">
        <v>1737</v>
      </c>
      <c r="F95" s="1">
        <v>25.0</v>
      </c>
      <c r="G95" s="1"/>
    </row>
    <row r="96">
      <c r="B96" s="1" t="s">
        <v>1738</v>
      </c>
      <c r="C96" s="1" t="s">
        <v>1640</v>
      </c>
      <c r="F96" s="1">
        <v>341.0</v>
      </c>
      <c r="G96" s="1"/>
    </row>
    <row r="97">
      <c r="B97" s="1" t="s">
        <v>1739</v>
      </c>
      <c r="C97" s="1" t="s">
        <v>1640</v>
      </c>
      <c r="F97" s="1">
        <v>400.0</v>
      </c>
      <c r="G97" s="1"/>
    </row>
    <row r="98">
      <c r="B98" s="1" t="s">
        <v>1740</v>
      </c>
      <c r="F98" s="1">
        <v>383.0</v>
      </c>
      <c r="G98" s="1"/>
    </row>
    <row r="99">
      <c r="A99" s="1" t="s">
        <v>1741</v>
      </c>
      <c r="B99" s="1" t="s">
        <v>1742</v>
      </c>
      <c r="F99" s="1">
        <v>16.0</v>
      </c>
      <c r="G99" s="1"/>
    </row>
    <row r="100">
      <c r="B100" s="1" t="s">
        <v>1743</v>
      </c>
      <c r="F100" s="1">
        <v>54.0</v>
      </c>
      <c r="G100" s="1"/>
    </row>
    <row r="101">
      <c r="B101" s="1" t="s">
        <v>1744</v>
      </c>
      <c r="C101" s="1" t="s">
        <v>1640</v>
      </c>
      <c r="F101" s="1">
        <v>230.0</v>
      </c>
      <c r="G101" s="1"/>
    </row>
    <row r="102">
      <c r="B102" s="1" t="s">
        <v>1745</v>
      </c>
      <c r="F102" s="1">
        <v>109.0</v>
      </c>
      <c r="G102" s="1"/>
    </row>
    <row r="103">
      <c r="B103" s="1" t="s">
        <v>1746</v>
      </c>
      <c r="C103" s="1" t="s">
        <v>1640</v>
      </c>
      <c r="F103" s="1">
        <v>410.0</v>
      </c>
      <c r="G103" s="1"/>
    </row>
    <row r="104">
      <c r="B104" s="1" t="s">
        <v>1747</v>
      </c>
      <c r="F104" s="1">
        <v>105.0</v>
      </c>
      <c r="G104" s="1"/>
    </row>
    <row r="105">
      <c r="B105" s="1" t="s">
        <v>1748</v>
      </c>
      <c r="F105" s="1">
        <v>105.0</v>
      </c>
      <c r="G105" s="1"/>
    </row>
    <row r="106">
      <c r="B106" s="1" t="s">
        <v>1749</v>
      </c>
      <c r="F106" s="1">
        <v>100.0</v>
      </c>
      <c r="G106" s="1"/>
    </row>
    <row r="107">
      <c r="B107" s="1" t="s">
        <v>1750</v>
      </c>
      <c r="C107" s="1" t="s">
        <v>1640</v>
      </c>
      <c r="F107" s="1">
        <v>336.0</v>
      </c>
      <c r="G107" s="1"/>
    </row>
    <row r="108">
      <c r="B108" s="1" t="s">
        <v>1751</v>
      </c>
      <c r="F108" s="1">
        <v>1234.2</v>
      </c>
      <c r="G108" s="1"/>
    </row>
    <row r="109">
      <c r="A109" s="1" t="s">
        <v>1752</v>
      </c>
      <c r="B109" s="1" t="s">
        <v>1753</v>
      </c>
      <c r="F109" s="1">
        <v>1244.0</v>
      </c>
      <c r="G109" s="1"/>
    </row>
    <row r="110">
      <c r="B110" s="1" t="s">
        <v>1754</v>
      </c>
      <c r="F110" s="1">
        <v>110.0</v>
      </c>
      <c r="G110" s="1"/>
    </row>
    <row r="111">
      <c r="B111" s="1" t="s">
        <v>1755</v>
      </c>
      <c r="F111" s="1">
        <v>11.04</v>
      </c>
      <c r="G111" s="1"/>
    </row>
    <row r="112">
      <c r="B112" s="1" t="s">
        <v>1756</v>
      </c>
      <c r="F112" s="1">
        <v>194.0</v>
      </c>
      <c r="G112" s="1"/>
    </row>
    <row r="113">
      <c r="B113" s="1" t="s">
        <v>1757</v>
      </c>
      <c r="F113" s="1">
        <v>1244.0</v>
      </c>
      <c r="G113" s="1"/>
    </row>
    <row r="114">
      <c r="B114" s="1" t="s">
        <v>1758</v>
      </c>
      <c r="F114" s="1">
        <v>220.0</v>
      </c>
      <c r="G114" s="1"/>
    </row>
    <row r="115">
      <c r="B115" s="1" t="s">
        <v>1759</v>
      </c>
      <c r="F115" s="1">
        <v>150.0</v>
      </c>
      <c r="G115" s="1"/>
      <c r="H115" s="1">
        <v>2.0</v>
      </c>
    </row>
    <row r="116">
      <c r="B116" s="1" t="s">
        <v>1760</v>
      </c>
      <c r="F116" s="1">
        <v>307.0</v>
      </c>
      <c r="G116" s="1"/>
    </row>
    <row r="117">
      <c r="B117" s="1" t="s">
        <v>1761</v>
      </c>
      <c r="F117" s="1">
        <v>1.0</v>
      </c>
      <c r="G117" s="1"/>
    </row>
    <row r="118">
      <c r="A118" s="1" t="s">
        <v>1762</v>
      </c>
      <c r="B118" s="1" t="s">
        <v>1763</v>
      </c>
      <c r="F118" s="1">
        <v>64.55</v>
      </c>
      <c r="G118" s="1"/>
    </row>
    <row r="119">
      <c r="B119" s="1" t="s">
        <v>1764</v>
      </c>
      <c r="F119" s="1">
        <v>70.0</v>
      </c>
      <c r="G119" s="1"/>
    </row>
    <row r="120">
      <c r="B120" s="1" t="s">
        <v>1765</v>
      </c>
      <c r="F120" s="1">
        <v>100.0</v>
      </c>
      <c r="G120" s="1"/>
    </row>
    <row r="121">
      <c r="B121" s="1" t="s">
        <v>1766</v>
      </c>
      <c r="F121" s="1">
        <v>52.0</v>
      </c>
      <c r="G121" s="1"/>
    </row>
    <row r="122">
      <c r="B122" s="1" t="s">
        <v>1767</v>
      </c>
      <c r="F122" s="1">
        <v>71.0</v>
      </c>
      <c r="G122" s="1"/>
    </row>
    <row r="123">
      <c r="B123" s="1" t="s">
        <v>1768</v>
      </c>
      <c r="F123" s="1">
        <v>50.0</v>
      </c>
      <c r="G123" s="1"/>
    </row>
    <row r="124">
      <c r="B124" s="1" t="s">
        <v>1769</v>
      </c>
      <c r="C124" s="1" t="s">
        <v>1640</v>
      </c>
      <c r="F124" s="1">
        <v>214.0</v>
      </c>
      <c r="G124" s="1"/>
    </row>
    <row r="125">
      <c r="B125" s="1" t="s">
        <v>1770</v>
      </c>
      <c r="C125" s="1" t="s">
        <v>1640</v>
      </c>
      <c r="F125" s="1">
        <v>220.0</v>
      </c>
      <c r="G125" s="1"/>
    </row>
    <row r="126">
      <c r="B126" s="1" t="s">
        <v>1771</v>
      </c>
      <c r="C126" s="1" t="s">
        <v>1640</v>
      </c>
      <c r="F126" s="1">
        <v>220.0</v>
      </c>
      <c r="G126" s="1"/>
    </row>
    <row r="127">
      <c r="B127" s="1" t="s">
        <v>1772</v>
      </c>
      <c r="C127" s="1" t="s">
        <v>1640</v>
      </c>
      <c r="F127" s="1">
        <v>413.792</v>
      </c>
      <c r="G127" s="1"/>
    </row>
    <row r="128">
      <c r="B128" s="1" t="s">
        <v>1773</v>
      </c>
      <c r="F128" s="1">
        <v>50.0</v>
      </c>
      <c r="G128" s="1"/>
    </row>
    <row r="129">
      <c r="B129" s="1" t="s">
        <v>1774</v>
      </c>
      <c r="F129" s="1">
        <v>52.2</v>
      </c>
      <c r="G129" s="1"/>
    </row>
    <row r="130">
      <c r="B130" s="1" t="s">
        <v>1775</v>
      </c>
      <c r="F130" s="1">
        <v>104.0</v>
      </c>
      <c r="G130" s="1"/>
    </row>
    <row r="131">
      <c r="B131" s="1" t="s">
        <v>1776</v>
      </c>
      <c r="F131" s="1">
        <v>113.0</v>
      </c>
      <c r="G131" s="1"/>
    </row>
    <row r="132">
      <c r="B132" s="1" t="s">
        <v>1777</v>
      </c>
      <c r="F132" s="1">
        <v>113.0</v>
      </c>
      <c r="G132" s="1"/>
    </row>
    <row r="133">
      <c r="B133" s="1" t="s">
        <v>1778</v>
      </c>
      <c r="F133" s="1">
        <v>6.09</v>
      </c>
      <c r="G133" s="1"/>
    </row>
    <row r="134">
      <c r="B134" s="1" t="s">
        <v>1779</v>
      </c>
      <c r="F134" s="1">
        <v>68.0</v>
      </c>
      <c r="G134" s="1"/>
    </row>
    <row r="135">
      <c r="B135" s="1" t="s">
        <v>1780</v>
      </c>
      <c r="F135" s="1">
        <v>100.0</v>
      </c>
      <c r="G135" s="1"/>
    </row>
    <row r="136">
      <c r="B136" s="1" t="s">
        <v>1781</v>
      </c>
      <c r="F136" s="1">
        <v>2.0</v>
      </c>
      <c r="G136" s="1"/>
    </row>
    <row r="137">
      <c r="A137" s="1" t="s">
        <v>1782</v>
      </c>
      <c r="B137" s="1" t="s">
        <v>1783</v>
      </c>
      <c r="F137" s="1">
        <v>162.443</v>
      </c>
      <c r="G137" s="1"/>
    </row>
    <row r="138">
      <c r="B138" s="1" t="s">
        <v>1784</v>
      </c>
      <c r="F138" s="1">
        <v>170.0</v>
      </c>
      <c r="G138" s="1"/>
    </row>
    <row r="139">
      <c r="B139" s="1" t="s">
        <v>1785</v>
      </c>
      <c r="F139" s="1">
        <v>274.0</v>
      </c>
      <c r="G139" s="1"/>
    </row>
    <row r="140">
      <c r="B140" s="1" t="s">
        <v>1786</v>
      </c>
      <c r="F140" s="1">
        <v>20.0</v>
      </c>
      <c r="G140" s="1"/>
    </row>
    <row r="141">
      <c r="B141" s="1" t="s">
        <v>1787</v>
      </c>
      <c r="F141" s="1">
        <v>20.0</v>
      </c>
      <c r="G141" s="1"/>
    </row>
    <row r="142">
      <c r="B142" s="1" t="s">
        <v>1788</v>
      </c>
      <c r="F142" s="1">
        <v>113.0</v>
      </c>
      <c r="G142" s="1"/>
    </row>
    <row r="143">
      <c r="B143" s="1" t="s">
        <v>1789</v>
      </c>
      <c r="F143" s="1">
        <v>8.0</v>
      </c>
      <c r="G143" s="1"/>
    </row>
    <row r="144">
      <c r="B144" s="1" t="s">
        <v>1790</v>
      </c>
      <c r="F144" s="1">
        <v>115.0</v>
      </c>
      <c r="G144" s="1"/>
    </row>
    <row r="145">
      <c r="B145" s="1" t="s">
        <v>1791</v>
      </c>
      <c r="F145" s="1">
        <v>30.0</v>
      </c>
      <c r="G145" s="1"/>
    </row>
    <row r="146">
      <c r="B146" s="1" t="s">
        <v>1792</v>
      </c>
      <c r="F146" s="1">
        <v>200.0</v>
      </c>
      <c r="G146" s="1"/>
    </row>
    <row r="147">
      <c r="G147" s="1"/>
    </row>
    <row r="148">
      <c r="G148" s="1"/>
    </row>
    <row r="149">
      <c r="G149" s="1"/>
    </row>
    <row r="150">
      <c r="G150" s="1"/>
    </row>
    <row r="151">
      <c r="G151" s="1"/>
    </row>
    <row r="152">
      <c r="G152" s="1"/>
    </row>
    <row r="153">
      <c r="G153" s="1"/>
    </row>
    <row r="154">
      <c r="G154" s="1"/>
    </row>
    <row r="155">
      <c r="G155" s="1"/>
    </row>
    <row r="156">
      <c r="G156" s="1"/>
    </row>
    <row r="157">
      <c r="G157" s="1"/>
    </row>
    <row r="158">
      <c r="G158" s="1"/>
    </row>
  </sheetData>
  <drawing r:id="rId1"/>
</worksheet>
</file>