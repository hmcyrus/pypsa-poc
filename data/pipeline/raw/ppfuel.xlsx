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8D4B1B7B-AE35-0D43-A258-71BEDBCD17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eca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2" i="1" l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J8" i="1"/>
  <c r="L8" i="1"/>
  <c r="L107" i="1"/>
  <c r="J107" i="1"/>
</calcChain>
</file>

<file path=xl/sharedStrings.xml><?xml version="1.0" encoding="utf-8"?>
<sst xmlns="http://schemas.openxmlformats.org/spreadsheetml/2006/main" count="964" uniqueCount="504">
  <si>
    <t>Power Grid Bangladesh PLC</t>
  </si>
  <si>
    <t>National Load Dispatch Center (NLDC)</t>
  </si>
  <si>
    <t>Forecasted Generation &amp; Demand of National Grid</t>
  </si>
  <si>
    <t>Date :</t>
  </si>
  <si>
    <t>16-04-2026</t>
  </si>
  <si>
    <t>Sl.</t>
  </si>
  <si>
    <t>Name of the
 Power Station</t>
  </si>
  <si>
    <t>Fuel</t>
  </si>
  <si>
    <t xml:space="preserve">Producer </t>
  </si>
  <si>
    <t>Installed Capacity</t>
  </si>
  <si>
    <t>Present Capacity</t>
  </si>
  <si>
    <t>Actual Generation on</t>
  </si>
  <si>
    <t>Forecasted Available Gen. on</t>
  </si>
  <si>
    <t>Effective Available Gen. on</t>
  </si>
  <si>
    <t>Remarks</t>
  </si>
  <si>
    <t>15-04-2026</t>
  </si>
  <si>
    <t>during</t>
  </si>
  <si>
    <t>Day Peak</t>
  </si>
  <si>
    <t>Ev. Peak</t>
  </si>
  <si>
    <t>Unit No. X Capacity</t>
  </si>
  <si>
    <t>MW</t>
  </si>
  <si>
    <t>1</t>
  </si>
  <si>
    <t>Ghorasal Repowered CCPP Unit-3</t>
  </si>
  <si>
    <t>Gas</t>
  </si>
  <si>
    <t>PDB</t>
  </si>
  <si>
    <t>1*260</t>
  </si>
  <si>
    <t>GT is under maintenance</t>
  </si>
  <si>
    <t>2</t>
  </si>
  <si>
    <t>Ghorasal Repowered CCPP Unit-4</t>
  </si>
  <si>
    <t>1*210</t>
  </si>
  <si>
    <t>Gas shortage</t>
  </si>
  <si>
    <t>Ghorasal TPP Unit-5</t>
  </si>
  <si>
    <t>3</t>
  </si>
  <si>
    <t>Ghorasal 365 MW CCPP Unit-7</t>
  </si>
  <si>
    <t>1*243+1*122</t>
  </si>
  <si>
    <t>4</t>
  </si>
  <si>
    <t>Ghorashal 108 MW PP (Regent)</t>
  </si>
  <si>
    <t>IPP</t>
  </si>
  <si>
    <t>34*3.35</t>
  </si>
  <si>
    <t>5</t>
  </si>
  <si>
    <t>Haripur GTPP</t>
  </si>
  <si>
    <t>SBU,PDB</t>
  </si>
  <si>
    <t>32*2</t>
  </si>
  <si>
    <t>-</t>
  </si>
  <si>
    <t>6</t>
  </si>
  <si>
    <t>Haripur 412 MW CCPP</t>
  </si>
  <si>
    <t>EGCB</t>
  </si>
  <si>
    <t>1*273+1*139</t>
  </si>
  <si>
    <t>Haripur 360 MW CCPP (HPL)</t>
  </si>
  <si>
    <t>1*235+1*125</t>
  </si>
  <si>
    <t>Contract Expired</t>
  </si>
  <si>
    <t>7</t>
  </si>
  <si>
    <t>Meghnaghat 450 MW CCPP (MPL)</t>
  </si>
  <si>
    <t>2*150+1*150</t>
  </si>
  <si>
    <t>8</t>
  </si>
  <si>
    <t>Meghnaghat CCPP(Summit)</t>
  </si>
  <si>
    <t>2*110+1*110</t>
  </si>
  <si>
    <t>9</t>
  </si>
  <si>
    <t>Madanganj-55 MW PP(Summit)</t>
  </si>
  <si>
    <t>HFO</t>
  </si>
  <si>
    <t>3*17+1*11.3</t>
  </si>
  <si>
    <t>12</t>
  </si>
  <si>
    <t>Siddhirgonj 210 MW TPP</t>
  </si>
  <si>
    <t>Under Major Overhauling</t>
  </si>
  <si>
    <t>13</t>
  </si>
  <si>
    <t>Siddhirgonj 2*120 MW GTPP</t>
  </si>
  <si>
    <t>2*105</t>
  </si>
  <si>
    <t>14</t>
  </si>
  <si>
    <t>Siddhirganj 335 MW CCPP</t>
  </si>
  <si>
    <t>1*217+118</t>
  </si>
  <si>
    <t>15</t>
  </si>
  <si>
    <t>Gagnagar 102 MW PP (Digital Power)</t>
  </si>
  <si>
    <t>12*8.924</t>
  </si>
  <si>
    <t>Liquid fuel shortage</t>
  </si>
  <si>
    <t>17</t>
  </si>
  <si>
    <t>Kamalaghat 54 MW PP(Banco Energy)</t>
  </si>
  <si>
    <t>3*18</t>
  </si>
  <si>
    <t>18</t>
  </si>
  <si>
    <t>Kodda 150 MW PP BRPL</t>
  </si>
  <si>
    <t>PDB-RPCL</t>
  </si>
  <si>
    <t>9*17.06</t>
  </si>
  <si>
    <t>Manikganj 55 MW PP (Northern)</t>
  </si>
  <si>
    <t>19.3*3</t>
  </si>
  <si>
    <t>20</t>
  </si>
  <si>
    <t>Nababganj 55 MW PP (Southern power )</t>
  </si>
  <si>
    <t>22</t>
  </si>
  <si>
    <t>Summit Power Ashulia</t>
  </si>
  <si>
    <t>Low gas pressure</t>
  </si>
  <si>
    <t>Summit Power Madhabdi</t>
  </si>
  <si>
    <t>3*3.67+4*8.73</t>
  </si>
  <si>
    <t>25</t>
  </si>
  <si>
    <t>Gazipur 52 MW PP</t>
  </si>
  <si>
    <t>RPCL</t>
  </si>
  <si>
    <t>6*8.9</t>
  </si>
  <si>
    <t>26</t>
  </si>
  <si>
    <t>Tongi 80 MW GTPP</t>
  </si>
  <si>
    <t>1* 105</t>
  </si>
  <si>
    <t>Under Maintenance of Exciter</t>
  </si>
  <si>
    <t>27</t>
  </si>
  <si>
    <t>Kodda 300 MW PP Unit-2 (Summit)</t>
  </si>
  <si>
    <t>18*17.06</t>
  </si>
  <si>
    <t>28</t>
  </si>
  <si>
    <t>Kodda 149 MW PP Unit-1 (Summit)</t>
  </si>
  <si>
    <t>8*18.45+8.97</t>
  </si>
  <si>
    <t>29</t>
  </si>
  <si>
    <t>Gazipur 100 MW PP</t>
  </si>
  <si>
    <t>6*17.5</t>
  </si>
  <si>
    <t>30</t>
  </si>
  <si>
    <t>Meghnaghat 104 MW PP (OPCL)</t>
  </si>
  <si>
    <t>6*18.5</t>
  </si>
  <si>
    <t>31</t>
  </si>
  <si>
    <t>Manikgonj 162MW PP(MPGL)</t>
  </si>
  <si>
    <t>9*18</t>
  </si>
  <si>
    <t>32</t>
  </si>
  <si>
    <t>Spectra Solar Plant Ltd.</t>
  </si>
  <si>
    <t>Solar</t>
  </si>
  <si>
    <t>33</t>
  </si>
  <si>
    <t>Kanchan Purbachal Power Generation Ltd.</t>
  </si>
  <si>
    <t>18.4*3</t>
  </si>
  <si>
    <t>34</t>
  </si>
  <si>
    <t>Unique Meghnaghat Power Limited (UMPL)</t>
  </si>
  <si>
    <t>35</t>
  </si>
  <si>
    <t>Meghnaghat CCPP(Summit)-2</t>
  </si>
  <si>
    <t>Gas/HSD</t>
  </si>
  <si>
    <t>1*409+1*202</t>
  </si>
  <si>
    <t>JERA Meghnaghat Power Limited</t>
  </si>
  <si>
    <t>250*2+268</t>
  </si>
  <si>
    <t>Sreepur 150 MW PP BRPL</t>
  </si>
  <si>
    <t>Dhaka Area Total</t>
  </si>
  <si>
    <t>36</t>
  </si>
  <si>
    <t>Chattogram TPP</t>
  </si>
  <si>
    <t>1*210+1*210</t>
  </si>
  <si>
    <t>Unit #1 Under Maintenance, Unit#2 Gas Shortage.</t>
  </si>
  <si>
    <t>37</t>
  </si>
  <si>
    <t>Raozan 25 MW PP</t>
  </si>
  <si>
    <t>3*8.9</t>
  </si>
  <si>
    <t>38</t>
  </si>
  <si>
    <t>Teknaf  20MW PP (Solartech)</t>
  </si>
  <si>
    <t>39</t>
  </si>
  <si>
    <t>Patenga 50MW PP (Baraka)</t>
  </si>
  <si>
    <t>8*6.98</t>
  </si>
  <si>
    <t>40</t>
  </si>
  <si>
    <t>Karnaphuli Hydro PP Unit-1,2,3,4, 5</t>
  </si>
  <si>
    <t>Hydro</t>
  </si>
  <si>
    <t>2*40+3*50</t>
  </si>
  <si>
    <t>41</t>
  </si>
  <si>
    <t>Sikalbaha 225MW CCPP</t>
  </si>
  <si>
    <t>1*150+1*75</t>
  </si>
  <si>
    <t>42</t>
  </si>
  <si>
    <t>Sikalbaha Peaking GT</t>
  </si>
  <si>
    <t>1*150</t>
  </si>
  <si>
    <t>43</t>
  </si>
  <si>
    <t>Sikalbaha 105 MW PP (Baraka Sikalbaha)</t>
  </si>
  <si>
    <t>44</t>
  </si>
  <si>
    <t>Hathazari 100 MW peaking PP</t>
  </si>
  <si>
    <t>11*8.9</t>
  </si>
  <si>
    <t>45</t>
  </si>
  <si>
    <t>Dohazari -Kalaish 100 MW Peaking</t>
  </si>
  <si>
    <t>6*17</t>
  </si>
  <si>
    <t>46</t>
  </si>
  <si>
    <t>Juldah 100 MW PP Unit-3 (Acorn)</t>
  </si>
  <si>
    <t>8*13.5</t>
  </si>
  <si>
    <t>Malancha, Ctg. EPZ (United)</t>
  </si>
  <si>
    <t>5*8.73+3*9.34</t>
  </si>
  <si>
    <t>47</t>
  </si>
  <si>
    <t>Chattogram 108 MW PP (ECPV)</t>
  </si>
  <si>
    <t>16*7</t>
  </si>
  <si>
    <t>48</t>
  </si>
  <si>
    <t>Kaptai 7 MW  Solar PP</t>
  </si>
  <si>
    <t>49</t>
  </si>
  <si>
    <t>Anwara 300 MW PP (United)</t>
  </si>
  <si>
    <t>17*17+24</t>
  </si>
  <si>
    <t>50</t>
  </si>
  <si>
    <t>Jodiac Power</t>
  </si>
  <si>
    <t>3*18.55+1*3.6</t>
  </si>
  <si>
    <t>51</t>
  </si>
  <si>
    <t>Karnaphuli Power Ltd.</t>
  </si>
  <si>
    <t>18.415*6+6.5</t>
  </si>
  <si>
    <t>52</t>
  </si>
  <si>
    <t>Juldah unit-2 (Acorn)</t>
  </si>
  <si>
    <t>8*13.6</t>
  </si>
  <si>
    <t>53</t>
  </si>
  <si>
    <t>Anlima Energy Ltd.</t>
  </si>
  <si>
    <t>6*21.2</t>
  </si>
  <si>
    <t>FGMO</t>
  </si>
  <si>
    <t>54</t>
  </si>
  <si>
    <t>Mirsharai 150 MW BRPL</t>
  </si>
  <si>
    <t>HFO/Gas</t>
  </si>
  <si>
    <t>18.5*9</t>
  </si>
  <si>
    <t>55</t>
  </si>
  <si>
    <t>SS Power</t>
  </si>
  <si>
    <t>Coal</t>
  </si>
  <si>
    <t>2*660</t>
  </si>
  <si>
    <t>Coal shortage</t>
  </si>
  <si>
    <t>56</t>
  </si>
  <si>
    <t>Cox's Bazar Wind</t>
  </si>
  <si>
    <t>Wind</t>
  </si>
  <si>
    <t>22*3</t>
  </si>
  <si>
    <t>57</t>
  </si>
  <si>
    <t>Matarbari 2*600 MW (CPGCBL)</t>
  </si>
  <si>
    <t>CPGCL</t>
  </si>
  <si>
    <t>2*600</t>
  </si>
  <si>
    <t>Chattogram Area Total</t>
  </si>
  <si>
    <t>58</t>
  </si>
  <si>
    <t>Ashuganj CCPP 225 MW</t>
  </si>
  <si>
    <t>APSCL</t>
  </si>
  <si>
    <t>1X142+1X75</t>
  </si>
  <si>
    <t>59</t>
  </si>
  <si>
    <t>Ashuganj 450 MW CCPP(North)</t>
  </si>
  <si>
    <t>1*360</t>
  </si>
  <si>
    <t>Under Maintenance</t>
  </si>
  <si>
    <t>60</t>
  </si>
  <si>
    <t>Ashuganj 450 MW CCPP(South)</t>
  </si>
  <si>
    <t>61</t>
  </si>
  <si>
    <t>Ashuganj 420 MW CCPP(East)</t>
  </si>
  <si>
    <t>284*1+116*1</t>
  </si>
  <si>
    <t>62</t>
  </si>
  <si>
    <t>Ashuganj TSK 50 MW PP</t>
  </si>
  <si>
    <t>14*3.96</t>
  </si>
  <si>
    <t>63</t>
  </si>
  <si>
    <t>Ashuganj 55 MW PP (Precision)</t>
  </si>
  <si>
    <t>QRPP</t>
  </si>
  <si>
    <t>15*4</t>
  </si>
  <si>
    <t>64</t>
  </si>
  <si>
    <t>Ashuganj 195 MW PP (APSCL-United)</t>
  </si>
  <si>
    <t>20X9.73+1X16</t>
  </si>
  <si>
    <t>65</t>
  </si>
  <si>
    <t>Ashuganj 51 MW PP (Midland)</t>
  </si>
  <si>
    <t>6X9.34</t>
  </si>
  <si>
    <t>Machine Problem</t>
  </si>
  <si>
    <t>66</t>
  </si>
  <si>
    <t>Ashuganj 150MW PP (Midland)</t>
  </si>
  <si>
    <t>23X7.015</t>
  </si>
  <si>
    <t>Engine Problem</t>
  </si>
  <si>
    <t>67</t>
  </si>
  <si>
    <t>Titas 50 MW Peaking PP</t>
  </si>
  <si>
    <t>6*8.92</t>
  </si>
  <si>
    <t>68</t>
  </si>
  <si>
    <t>Chandpur 150 MW CCPP</t>
  </si>
  <si>
    <t>1*106+1*57</t>
  </si>
  <si>
    <t>69</t>
  </si>
  <si>
    <t>Chandpur 200MW (Desh energy)</t>
  </si>
  <si>
    <t>12*18.4</t>
  </si>
  <si>
    <t>Import (Tripura)</t>
  </si>
  <si>
    <t>Import</t>
  </si>
  <si>
    <t>71</t>
  </si>
  <si>
    <t>Jangalia 52 MW PP (Lakdanavi)</t>
  </si>
  <si>
    <t>72</t>
  </si>
  <si>
    <t>Cumilla 25 MW PP (Summit)</t>
  </si>
  <si>
    <t>SIPP,REB</t>
  </si>
  <si>
    <t>3*3.67+2*6.97</t>
  </si>
  <si>
    <t>73</t>
  </si>
  <si>
    <t>Feni Lanka Power</t>
  </si>
  <si>
    <t>7*18.415+1*9.78</t>
  </si>
  <si>
    <t>74</t>
  </si>
  <si>
    <t>Chowmuhani 113 MW</t>
  </si>
  <si>
    <t>12*9.78+2*3.1</t>
  </si>
  <si>
    <t>75</t>
  </si>
  <si>
    <t>Chandpur 115(Doreen)</t>
  </si>
  <si>
    <t>4*18.5+2*22.5</t>
  </si>
  <si>
    <t>76</t>
  </si>
  <si>
    <t>Sonagazi 75 MW (AC) Solar Power Plant</t>
  </si>
  <si>
    <t>Cumilla Area Total</t>
  </si>
  <si>
    <t>77</t>
  </si>
  <si>
    <t>RPCL 210MW CCPP</t>
  </si>
  <si>
    <t>4*35+1*70</t>
  </si>
  <si>
    <t>79</t>
  </si>
  <si>
    <t>Sarishabari 3 MW Solar Plant</t>
  </si>
  <si>
    <t>80</t>
  </si>
  <si>
    <t>Mymensingh 200 MW PP (United)</t>
  </si>
  <si>
    <t>9.78*21</t>
  </si>
  <si>
    <t>81</t>
  </si>
  <si>
    <t>Jamalpur 115 MW PP (United)</t>
  </si>
  <si>
    <t>9.78*12</t>
  </si>
  <si>
    <t>82</t>
  </si>
  <si>
    <t>Sutiakhali 50 MW Solar PP</t>
  </si>
  <si>
    <t>83</t>
  </si>
  <si>
    <t>Tangail Palli Power Gen 22 MW</t>
  </si>
  <si>
    <t>4*6.7</t>
  </si>
  <si>
    <t>84</t>
  </si>
  <si>
    <t>Bhairob 54.5 MW</t>
  </si>
  <si>
    <t>3*18.2</t>
  </si>
  <si>
    <t>Mymensingh Area Total</t>
  </si>
  <si>
    <t>Moulvibazar 10 MW Solar Power Plant</t>
  </si>
  <si>
    <t>1*10</t>
  </si>
  <si>
    <t>85</t>
  </si>
  <si>
    <t>Fenchugonj CCPP Phase-1</t>
  </si>
  <si>
    <t>2*32+1*33</t>
  </si>
  <si>
    <t>86</t>
  </si>
  <si>
    <t>Fenchugonj CCPP Phase-2</t>
  </si>
  <si>
    <t>2*35+1*35</t>
  </si>
  <si>
    <t>plant availability zero</t>
  </si>
  <si>
    <t>87</t>
  </si>
  <si>
    <t>Kushiara 163 MW CCPP (KP)</t>
  </si>
  <si>
    <t>1*109+1*54</t>
  </si>
  <si>
    <t>88</t>
  </si>
  <si>
    <t>Shajibazar 330 MW CCPP</t>
  </si>
  <si>
    <t>3*110</t>
  </si>
  <si>
    <t>91</t>
  </si>
  <si>
    <t>Shahjibazar GTPP Unit- 8 &amp; 9</t>
  </si>
  <si>
    <t>2*35</t>
  </si>
  <si>
    <t>GT-9 Under Maintenance</t>
  </si>
  <si>
    <t>92</t>
  </si>
  <si>
    <t>Shahjibazar 86MW PP (Shahjibazar)</t>
  </si>
  <si>
    <t>RPP</t>
  </si>
  <si>
    <t>32*2.90</t>
  </si>
  <si>
    <t>Gas Restrction</t>
  </si>
  <si>
    <t>93</t>
  </si>
  <si>
    <t>Shahjibazar 100 MW GTPP</t>
  </si>
  <si>
    <t>1*100</t>
  </si>
  <si>
    <t>machine problem</t>
  </si>
  <si>
    <t>94</t>
  </si>
  <si>
    <t>Sylhet 225 MW CCPP</t>
  </si>
  <si>
    <t>1*142+1*89</t>
  </si>
  <si>
    <t>STG Under Maintenance</t>
  </si>
  <si>
    <t>95</t>
  </si>
  <si>
    <t>Sylhet  20 MW GTPP</t>
  </si>
  <si>
    <t>1*20</t>
  </si>
  <si>
    <t>96</t>
  </si>
  <si>
    <t>Shahjahanulla 25 MW PP</t>
  </si>
  <si>
    <t>3*9.34</t>
  </si>
  <si>
    <t>97</t>
  </si>
  <si>
    <t>Bibiana-II 341 MW CCPP (Summit)</t>
  </si>
  <si>
    <t>1*222+1*119</t>
  </si>
  <si>
    <t>98</t>
  </si>
  <si>
    <t>Bibiyana-III 400 MW CCPP</t>
  </si>
  <si>
    <t>285*1+134*1</t>
  </si>
  <si>
    <t>99</t>
  </si>
  <si>
    <t>Bibiyana South 400 MW</t>
  </si>
  <si>
    <t>1*400</t>
  </si>
  <si>
    <t>Sylhet Area Total</t>
  </si>
  <si>
    <t>100</t>
  </si>
  <si>
    <t>Bheramara GTPP Unit-3</t>
  </si>
  <si>
    <t>HSD</t>
  </si>
  <si>
    <t>1X20</t>
  </si>
  <si>
    <t>**</t>
  </si>
  <si>
    <t>Bheramara (HVDC )</t>
  </si>
  <si>
    <t>2X500</t>
  </si>
  <si>
    <t>101</t>
  </si>
  <si>
    <t>Faridpur 50 MW Peaking PP</t>
  </si>
  <si>
    <t>8*6.89</t>
  </si>
  <si>
    <t>102</t>
  </si>
  <si>
    <t>Khulna 225 MW CCPP</t>
  </si>
  <si>
    <t>HSD/Gas</t>
  </si>
  <si>
    <t>NWPGCL</t>
  </si>
  <si>
    <t>1X150+1X75</t>
  </si>
  <si>
    <t>103</t>
  </si>
  <si>
    <t>Gopalganj 100 MW Peaking PP</t>
  </si>
  <si>
    <t>16*6.98</t>
  </si>
  <si>
    <t>104</t>
  </si>
  <si>
    <t>Bheramara 410 MW CCPP</t>
  </si>
  <si>
    <t>1X278+1X132</t>
  </si>
  <si>
    <t>105</t>
  </si>
  <si>
    <t>Rupsha 105 MW PP (Orion rupsha)</t>
  </si>
  <si>
    <t>6*18.445</t>
  </si>
  <si>
    <t>106</t>
  </si>
  <si>
    <t>Madhumati 100 MW PP</t>
  </si>
  <si>
    <t>6*18</t>
  </si>
  <si>
    <t>107</t>
  </si>
  <si>
    <t>Mongla Orion 100 MW Solar PP</t>
  </si>
  <si>
    <t>108</t>
  </si>
  <si>
    <t>Khulna 330 MW CCPP</t>
  </si>
  <si>
    <t>1*220+1*110</t>
  </si>
  <si>
    <t>109</t>
  </si>
  <si>
    <t>Rampal 1320 MW (BIFPCL)</t>
  </si>
  <si>
    <t>660*2</t>
  </si>
  <si>
    <t>HVDC(Nepal)</t>
  </si>
  <si>
    <t>1*40</t>
  </si>
  <si>
    <t>Khulna Area Total</t>
  </si>
  <si>
    <t>Patuakhali 1320 MW (RNPL)</t>
  </si>
  <si>
    <t>RNPL</t>
  </si>
  <si>
    <t>Plant availability less</t>
  </si>
  <si>
    <t>110</t>
  </si>
  <si>
    <t>Barisal 110 MW PP (Summit )</t>
  </si>
  <si>
    <t>7X17.076</t>
  </si>
  <si>
    <t>111</t>
  </si>
  <si>
    <t>Bhola  33 MW PP (Venture)</t>
  </si>
  <si>
    <t>NENP</t>
  </si>
  <si>
    <t>1X34.50</t>
  </si>
  <si>
    <t>112</t>
  </si>
  <si>
    <t>Bhola 225 MW  CCPP</t>
  </si>
  <si>
    <t>2X63+1X68</t>
  </si>
  <si>
    <t>113</t>
  </si>
  <si>
    <t>Payra 1320 MW</t>
  </si>
  <si>
    <t>BCPCL</t>
  </si>
  <si>
    <t>2*622</t>
  </si>
  <si>
    <t>114</t>
  </si>
  <si>
    <t>Bhola Nutan Biddut BD LTD</t>
  </si>
  <si>
    <t>2*75+1*75</t>
  </si>
  <si>
    <t>MVAR Subjected to Grid Voltage</t>
  </si>
  <si>
    <t>115</t>
  </si>
  <si>
    <t>United Payra Power Ltd.</t>
  </si>
  <si>
    <t>8*18.5+1*9.5</t>
  </si>
  <si>
    <t>116</t>
  </si>
  <si>
    <t>Barisal 307 MW</t>
  </si>
  <si>
    <t>307X1</t>
  </si>
  <si>
    <t>117</t>
  </si>
  <si>
    <t>Barisal 1 MW Solar Plant</t>
  </si>
  <si>
    <t>Barishal Area Total</t>
  </si>
  <si>
    <t>Pabna 64 MW Solar Plant</t>
  </si>
  <si>
    <t>11*6.6</t>
  </si>
  <si>
    <t>118</t>
  </si>
  <si>
    <t>Baghabari 71 MW GTPP</t>
  </si>
  <si>
    <t>1X71</t>
  </si>
  <si>
    <t>Baghabari  100 MW GTPP</t>
  </si>
  <si>
    <t>Machine Under Maintenance</t>
  </si>
  <si>
    <t>119</t>
  </si>
  <si>
    <t>Baghabari  50 MW Peaking PP</t>
  </si>
  <si>
    <t>120</t>
  </si>
  <si>
    <t>Bera 70 MW Peaking PP</t>
  </si>
  <si>
    <t>9*8.29</t>
  </si>
  <si>
    <t>122</t>
  </si>
  <si>
    <t>Katakhali 50 MW Peaking PP</t>
  </si>
  <si>
    <t>6*8.7</t>
  </si>
  <si>
    <t>Partial Shutdown due to maintenance</t>
  </si>
  <si>
    <t>123</t>
  </si>
  <si>
    <t>Sirajgonj 225MW CCPP Unit-1</t>
  </si>
  <si>
    <t>124</t>
  </si>
  <si>
    <t>Sirajgonj 225MW CCPP Unit-2</t>
  </si>
  <si>
    <t>125</t>
  </si>
  <si>
    <t>Sirajgonj 225MW CCPP Unit-3</t>
  </si>
  <si>
    <t>1*141</t>
  </si>
  <si>
    <t>126</t>
  </si>
  <si>
    <t>Sirajgonj 400 MW CCPP Unit-4</t>
  </si>
  <si>
    <t>1*282+1*132</t>
  </si>
  <si>
    <t>127</t>
  </si>
  <si>
    <t>Santahar  50 MW Peaking PP</t>
  </si>
  <si>
    <t>129</t>
  </si>
  <si>
    <t>Natore 52 MW PP (Rajlanka)</t>
  </si>
  <si>
    <t>130</t>
  </si>
  <si>
    <t>Chapainawabganj 100 MW Peaking PP</t>
  </si>
  <si>
    <t>131</t>
  </si>
  <si>
    <t>Bagura 113 MW PP (Confidence)-2</t>
  </si>
  <si>
    <t>6*18.55+7.2</t>
  </si>
  <si>
    <t>132</t>
  </si>
  <si>
    <t>Bagura 113 MW PP (Confidence)-1</t>
  </si>
  <si>
    <t>6*18.55</t>
  </si>
  <si>
    <t>133</t>
  </si>
  <si>
    <t>Sirajgonj 6.55 MW Solar</t>
  </si>
  <si>
    <t>Adani Power Jharkhanda Ltd</t>
  </si>
  <si>
    <t>2*673</t>
  </si>
  <si>
    <t>134</t>
  </si>
  <si>
    <t>Sirajganj 68 MW Solar Park</t>
  </si>
  <si>
    <t>Pabna Solar 100 MW</t>
  </si>
  <si>
    <t>Sirajganj 2 MW Wind Power Plant</t>
  </si>
  <si>
    <t>0.25*8</t>
  </si>
  <si>
    <t>Rajshahi Area Total</t>
  </si>
  <si>
    <t>Saidpur 150 MW Simple Cycle Power Plant</t>
  </si>
  <si>
    <t>135</t>
  </si>
  <si>
    <t>Barapukuria TPP Unit-1 &amp; 2</t>
  </si>
  <si>
    <t>1*125+1*125</t>
  </si>
  <si>
    <t>136</t>
  </si>
  <si>
    <t>Barapukuria 275 MW TPP Unit-3</t>
  </si>
  <si>
    <t>1*275</t>
  </si>
  <si>
    <t>137</t>
  </si>
  <si>
    <t>Rangpur 20 MW  GTPP</t>
  </si>
  <si>
    <t>138</t>
  </si>
  <si>
    <t>Saidpur 20 MW GTPP</t>
  </si>
  <si>
    <t>139</t>
  </si>
  <si>
    <t>Rangpur 113 MW PP (Confidence)</t>
  </si>
  <si>
    <t>9*6.984+7*7.015+3.15*2</t>
  </si>
  <si>
    <t>140</t>
  </si>
  <si>
    <t>Sympa Solar Power 8 MW</t>
  </si>
  <si>
    <t>141</t>
  </si>
  <si>
    <t>Energypac Power Venture Thakurgaon Ltd.</t>
  </si>
  <si>
    <t>142</t>
  </si>
  <si>
    <t>Intraco Solar 30 MW</t>
  </si>
  <si>
    <t>1*30</t>
  </si>
  <si>
    <t>143</t>
  </si>
  <si>
    <t>Teesta Solar Limited</t>
  </si>
  <si>
    <t>Rangpur Area Total</t>
  </si>
  <si>
    <t>System Total</t>
  </si>
  <si>
    <t>Forecast Scenario (16-04-2026)</t>
  </si>
  <si>
    <t>Hour</t>
  </si>
  <si>
    <t>Generation</t>
  </si>
  <si>
    <t>Load-Shed</t>
  </si>
  <si>
    <t>Demand</t>
  </si>
  <si>
    <t xml:space="preserve"> </t>
  </si>
  <si>
    <t>Probable Maximum Temperature:</t>
  </si>
  <si>
    <t>33.00°C</t>
  </si>
  <si>
    <t>Probable Maximum Demand at Day Peak:</t>
  </si>
  <si>
    <t>14000.00 MW</t>
  </si>
  <si>
    <t>Total Load Shed forecast (in MW) at evening peak hr. (Sub-station End):</t>
  </si>
  <si>
    <t>Probable Maximum Demand at Evening Peak:</t>
  </si>
  <si>
    <t>15500.00 MW</t>
  </si>
  <si>
    <t>Area Wise Load Shed forecast (in MW) at evening peak hr. (Sub-station End):</t>
  </si>
  <si>
    <t>Probable Maximum Generation at Evening Peak:</t>
  </si>
  <si>
    <t>14300.00 MW</t>
  </si>
  <si>
    <t>Dhaka</t>
  </si>
  <si>
    <t>Chittagong</t>
  </si>
  <si>
    <t>Cumilla</t>
  </si>
  <si>
    <t>Mymensingh</t>
  </si>
  <si>
    <t>Sylhet</t>
  </si>
  <si>
    <t>Khulna</t>
  </si>
  <si>
    <t>Barishal</t>
  </si>
  <si>
    <t>Rajshahi</t>
  </si>
  <si>
    <t>Rangpur</t>
  </si>
  <si>
    <t>Total</t>
  </si>
  <si>
    <t>Probable Total Energy Generation:</t>
  </si>
  <si>
    <t>292.015 MKWHr.</t>
  </si>
  <si>
    <t>*** This report is generated digitally from Operation Information System (OIS) at 08:56 hrs on 16-04-2026</t>
  </si>
  <si>
    <t>Sub-Divisional Engineer</t>
  </si>
  <si>
    <t>Executive Engineer</t>
  </si>
  <si>
    <t>Network Operation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</si>
</sst>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6"/>
      <color theme="1"/>
      <name val="Arial"/>
    </font>
    <font>
      <b/>
      <sz val="30"/>
      <color theme="1"/>
      <name val="Arial"/>
    </font>
    <font>
      <b/>
      <sz val="24"/>
      <color theme="1"/>
      <name val="Arial"/>
    </font>
    <font>
      <sz val="10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0"/>
      <name val="Arial"/>
    </font>
    <font>
      <b/>
      <sz val="8"/>
      <color theme="1"/>
      <name val="Arial"/>
    </font>
    <font>
      <b/>
      <sz val="18"/>
      <color theme="1"/>
      <name val="Arial"/>
    </font>
    <font>
      <sz val="18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sz val="12"/>
      <color theme="1"/>
      <name val="Arial"/>
    </font>
    <font>
      <sz val="11"/>
      <color rgb="FF000000"/>
      <name val="Arial"/>
    </font>
    <font>
      <sz val="12"/>
      <color theme="1"/>
      <name val="Calibri"/>
    </font>
    <font>
      <sz val="22"/>
      <color theme="1"/>
      <name val="Arial"/>
    </font>
    <font>
      <sz val="2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2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8" fillId="0" borderId="0" xfId="0" applyFont="1"/>
    <xf numFmtId="0" fontId="8" fillId="0" borderId="8" xfId="0" applyFont="1" applyBorder="1"/>
    <xf numFmtId="0" fontId="8" fillId="0" borderId="7" xfId="0" applyFont="1" applyBorder="1"/>
    <xf numFmtId="0" fontId="1" fillId="0" borderId="0" xfId="0" applyFont="1"/>
    <xf numFmtId="0" fontId="11" fillId="0" borderId="9" xfId="0" applyFont="1" applyBorder="1" applyAlignment="1">
      <alignment horizontal="center" vertical="center" wrapText="1"/>
    </xf>
    <xf numFmtId="20" fontId="11" fillId="0" borderId="13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8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9" fillId="0" borderId="0" xfId="0" applyFont="1"/>
    <xf numFmtId="0" fontId="21" fillId="0" borderId="0" xfId="0" applyFont="1"/>
    <xf numFmtId="1" fontId="12" fillId="0" borderId="4" xfId="0" applyNumberFormat="1" applyFont="1" applyBorder="1" applyAlignment="1">
      <alignment horizontal="center"/>
    </xf>
    <xf numFmtId="0" fontId="9" fillId="0" borderId="5" xfId="0" applyFont="1" applyBorder="1"/>
    <xf numFmtId="0" fontId="12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7" xfId="0" applyFont="1" applyBorder="1"/>
    <xf numFmtId="0" fontId="9" fillId="0" borderId="10" xfId="0" applyFont="1" applyBorder="1"/>
    <xf numFmtId="0" fontId="8" fillId="0" borderId="1" xfId="0" applyFont="1" applyBorder="1" applyAlignment="1">
      <alignment horizontal="center" vertical="center"/>
    </xf>
    <xf numFmtId="0" fontId="9" fillId="0" borderId="6" xfId="0" applyFont="1" applyBorder="1"/>
    <xf numFmtId="0" fontId="9" fillId="0" borderId="9" xfId="0" applyFont="1" applyBorder="1"/>
    <xf numFmtId="0" fontId="8" fillId="0" borderId="4" xfId="0" applyFont="1" applyBorder="1" applyAlignment="1">
      <alignment horizontal="center" vertical="center"/>
    </xf>
    <xf numFmtId="0" fontId="9" fillId="0" borderId="3" xfId="0" applyFont="1" applyBorder="1"/>
    <xf numFmtId="0" fontId="9" fillId="0" borderId="8" xfId="0" applyFont="1" applyBorder="1"/>
    <xf numFmtId="0" fontId="9" fillId="0" borderId="11" xfId="0" applyFont="1" applyBorder="1"/>
    <xf numFmtId="0" fontId="9" fillId="0" borderId="12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9" fillId="0" borderId="14" xfId="0" applyFont="1" applyBorder="1"/>
    <xf numFmtId="0" fontId="11" fillId="0" borderId="4" xfId="0" applyFont="1" applyBorder="1" applyAlignment="1">
      <alignment horizontal="center"/>
    </xf>
    <xf numFmtId="0" fontId="9" fillId="0" borderId="15" xfId="0" applyFont="1" applyBorder="1"/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952500" cy="9525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39" workbookViewId="0"/>
  </sheetViews>
  <sheetFormatPr defaultColWidth="12.67578125" defaultRowHeight="15.75" customHeight="1" x14ac:dyDescent="0.15"/>
  <cols>
    <col min="1" max="1" width="4.1796875" customWidth="1"/>
    <col min="2" max="2" width="33.578125" customWidth="1"/>
    <col min="3" max="3" width="8.22265625" customWidth="1"/>
    <col min="4" max="4" width="10.65234375" customWidth="1"/>
    <col min="5" max="5" width="13.6171875" customWidth="1"/>
    <col min="6" max="6" width="8.359375" customWidth="1"/>
    <col min="7" max="7" width="9.4375" customWidth="1"/>
    <col min="8" max="13" width="11.19140625" customWidth="1"/>
    <col min="14" max="14" width="11.0546875" customWidth="1"/>
    <col min="15" max="15" width="28.18359375" customWidth="1"/>
    <col min="16" max="26" width="7.68359375" customWidth="1"/>
  </cols>
  <sheetData>
    <row r="1" spans="1:15" ht="21" customHeight="1" x14ac:dyDescent="0.15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34.5" customHeight="1" x14ac:dyDescent="0.15">
      <c r="A2" s="1"/>
      <c r="B2" s="1"/>
      <c r="C2" s="48" t="s">
        <v>0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1"/>
    </row>
    <row r="3" spans="1:15" ht="30" customHeight="1" x14ac:dyDescent="0.15">
      <c r="A3" s="1"/>
      <c r="B3" s="1"/>
      <c r="C3" s="49" t="s">
        <v>1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1"/>
    </row>
    <row r="4" spans="1:15" ht="30" customHeight="1" x14ac:dyDescent="0.15">
      <c r="A4" s="1"/>
      <c r="B4" s="1"/>
      <c r="C4" s="49" t="s">
        <v>2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1"/>
    </row>
    <row r="5" spans="1:15" ht="20.25" customHeight="1" x14ac:dyDescent="0.1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ht="18.75" customHeight="1" x14ac:dyDescent="0.15">
      <c r="A6" s="3"/>
      <c r="B6" s="4" t="s">
        <v>3</v>
      </c>
      <c r="C6" s="50" t="s">
        <v>4</v>
      </c>
      <c r="D6" s="47"/>
      <c r="E6" s="3"/>
      <c r="F6" s="3"/>
      <c r="G6" s="3"/>
      <c r="H6" s="3"/>
      <c r="I6" s="3"/>
      <c r="J6" s="3"/>
      <c r="K6" s="3"/>
      <c r="L6" s="3"/>
      <c r="M6" s="3"/>
      <c r="N6" s="5"/>
    </row>
    <row r="7" spans="1:15" ht="15" customHeight="1" x14ac:dyDescent="0.15">
      <c r="A7" s="44" t="s">
        <v>5</v>
      </c>
      <c r="B7" s="36" t="s">
        <v>6</v>
      </c>
      <c r="C7" s="33" t="s">
        <v>7</v>
      </c>
      <c r="D7" s="36" t="s">
        <v>8</v>
      </c>
      <c r="E7" s="33" t="s">
        <v>9</v>
      </c>
      <c r="F7" s="40"/>
      <c r="G7" s="44" t="s">
        <v>10</v>
      </c>
      <c r="H7" s="45" t="s">
        <v>11</v>
      </c>
      <c r="I7" s="31"/>
      <c r="J7" s="45" t="s">
        <v>12</v>
      </c>
      <c r="K7" s="31"/>
      <c r="L7" s="45" t="s">
        <v>13</v>
      </c>
      <c r="M7" s="31"/>
      <c r="N7" s="33" t="s">
        <v>14</v>
      </c>
      <c r="O7" s="40"/>
    </row>
    <row r="8" spans="1:15" ht="15" customHeight="1" x14ac:dyDescent="0.15">
      <c r="A8" s="37"/>
      <c r="B8" s="37"/>
      <c r="C8" s="34"/>
      <c r="D8" s="37"/>
      <c r="E8" s="34"/>
      <c r="F8" s="41"/>
      <c r="G8" s="37"/>
      <c r="H8" s="6" t="s">
        <v>15</v>
      </c>
      <c r="I8" s="7" t="s">
        <v>16</v>
      </c>
      <c r="J8" s="8" t="str">
        <f>C6</f>
        <v>16-04-2026</v>
      </c>
      <c r="K8" s="7" t="s">
        <v>16</v>
      </c>
      <c r="L8" s="8" t="str">
        <f>J8</f>
        <v>16-04-2026</v>
      </c>
      <c r="M8" s="7" t="s">
        <v>16</v>
      </c>
      <c r="N8" s="34"/>
      <c r="O8" s="41"/>
    </row>
    <row r="9" spans="1:15" ht="15.75" customHeight="1" x14ac:dyDescent="0.15">
      <c r="A9" s="37"/>
      <c r="B9" s="38"/>
      <c r="C9" s="35"/>
      <c r="D9" s="38"/>
      <c r="E9" s="42"/>
      <c r="F9" s="43"/>
      <c r="G9" s="38"/>
      <c r="H9" s="9" t="s">
        <v>17</v>
      </c>
      <c r="I9" s="9" t="s">
        <v>18</v>
      </c>
      <c r="J9" s="9" t="s">
        <v>17</v>
      </c>
      <c r="K9" s="9" t="s">
        <v>18</v>
      </c>
      <c r="L9" s="9" t="s">
        <v>17</v>
      </c>
      <c r="M9" s="9" t="s">
        <v>18</v>
      </c>
      <c r="N9" s="42"/>
      <c r="O9" s="43"/>
    </row>
    <row r="10" spans="1:15" ht="18.75" customHeight="1" x14ac:dyDescent="0.15">
      <c r="A10" s="10"/>
      <c r="B10" s="39"/>
      <c r="C10" s="31"/>
      <c r="D10" s="11"/>
      <c r="E10" s="12" t="s">
        <v>19</v>
      </c>
      <c r="F10" s="13" t="s">
        <v>20</v>
      </c>
      <c r="G10" s="13" t="s">
        <v>20</v>
      </c>
      <c r="H10" s="11" t="s">
        <v>20</v>
      </c>
      <c r="I10" s="11" t="s">
        <v>20</v>
      </c>
      <c r="J10" s="11" t="s">
        <v>20</v>
      </c>
      <c r="K10" s="11" t="s">
        <v>20</v>
      </c>
      <c r="L10" s="11" t="s">
        <v>20</v>
      </c>
      <c r="M10" s="11" t="s">
        <v>20</v>
      </c>
      <c r="N10" s="51"/>
      <c r="O10" s="31"/>
    </row>
    <row r="11" spans="1:15" ht="18" customHeight="1" x14ac:dyDescent="0.15">
      <c r="A11" s="14" t="s">
        <v>21</v>
      </c>
      <c r="B11" s="15" t="s">
        <v>22</v>
      </c>
      <c r="C11" s="14" t="s">
        <v>23</v>
      </c>
      <c r="D11" s="14" t="s">
        <v>24</v>
      </c>
      <c r="E11" s="14" t="s">
        <v>25</v>
      </c>
      <c r="F11" s="14">
        <v>260</v>
      </c>
      <c r="G11" s="14">
        <v>260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52" t="s">
        <v>26</v>
      </c>
      <c r="O11" s="31"/>
    </row>
    <row r="12" spans="1:15" ht="18" customHeight="1" x14ac:dyDescent="0.15">
      <c r="A12" s="14" t="s">
        <v>27</v>
      </c>
      <c r="B12" s="15" t="s">
        <v>28</v>
      </c>
      <c r="C12" s="14" t="s">
        <v>23</v>
      </c>
      <c r="D12" s="14" t="s">
        <v>24</v>
      </c>
      <c r="E12" s="14" t="s">
        <v>29</v>
      </c>
      <c r="F12" s="14">
        <v>210</v>
      </c>
      <c r="G12" s="14">
        <v>240</v>
      </c>
      <c r="H12" s="14">
        <v>0</v>
      </c>
      <c r="I12" s="14">
        <v>0</v>
      </c>
      <c r="J12" s="14">
        <v>230</v>
      </c>
      <c r="K12" s="14">
        <v>230</v>
      </c>
      <c r="L12" s="14">
        <v>0</v>
      </c>
      <c r="M12" s="14">
        <v>0</v>
      </c>
      <c r="N12" s="52" t="s">
        <v>30</v>
      </c>
      <c r="O12" s="31"/>
    </row>
    <row r="13" spans="1:15" ht="18" customHeight="1" x14ac:dyDescent="0.15">
      <c r="A13" s="14"/>
      <c r="B13" s="15" t="s">
        <v>31</v>
      </c>
      <c r="C13" s="14" t="s">
        <v>23</v>
      </c>
      <c r="D13" s="14" t="s">
        <v>24</v>
      </c>
      <c r="E13" s="14" t="s">
        <v>29</v>
      </c>
      <c r="F13" s="14">
        <v>210</v>
      </c>
      <c r="G13" s="14">
        <v>190</v>
      </c>
      <c r="H13" s="14">
        <v>0</v>
      </c>
      <c r="I13" s="14">
        <v>0</v>
      </c>
      <c r="J13" s="14">
        <v>190</v>
      </c>
      <c r="K13" s="14">
        <v>190</v>
      </c>
      <c r="L13" s="14">
        <v>0</v>
      </c>
      <c r="M13" s="14">
        <v>0</v>
      </c>
      <c r="N13" s="52" t="s">
        <v>30</v>
      </c>
      <c r="O13" s="31"/>
    </row>
    <row r="14" spans="1:15" ht="18" customHeight="1" x14ac:dyDescent="0.15">
      <c r="A14" s="14" t="s">
        <v>32</v>
      </c>
      <c r="B14" s="15" t="s">
        <v>33</v>
      </c>
      <c r="C14" s="14" t="s">
        <v>23</v>
      </c>
      <c r="D14" s="14" t="s">
        <v>24</v>
      </c>
      <c r="E14" s="14" t="s">
        <v>34</v>
      </c>
      <c r="F14" s="14">
        <v>365</v>
      </c>
      <c r="G14" s="14">
        <v>365</v>
      </c>
      <c r="H14" s="14">
        <v>0</v>
      </c>
      <c r="I14" s="14">
        <v>0</v>
      </c>
      <c r="J14" s="14">
        <v>260</v>
      </c>
      <c r="K14" s="14">
        <v>260</v>
      </c>
      <c r="L14" s="14">
        <v>0</v>
      </c>
      <c r="M14" s="14">
        <v>0</v>
      </c>
      <c r="N14" s="52" t="s">
        <v>30</v>
      </c>
      <c r="O14" s="31"/>
    </row>
    <row r="15" spans="1:15" ht="18" customHeight="1" x14ac:dyDescent="0.15">
      <c r="A15" s="14" t="s">
        <v>35</v>
      </c>
      <c r="B15" s="15" t="s">
        <v>36</v>
      </c>
      <c r="C15" s="14" t="s">
        <v>23</v>
      </c>
      <c r="D15" s="14" t="s">
        <v>37</v>
      </c>
      <c r="E15" s="14" t="s">
        <v>38</v>
      </c>
      <c r="F15" s="14">
        <v>108</v>
      </c>
      <c r="G15" s="14">
        <v>97.7</v>
      </c>
      <c r="H15" s="14">
        <v>0</v>
      </c>
      <c r="I15" s="14">
        <v>0</v>
      </c>
      <c r="J15" s="14">
        <v>97.7</v>
      </c>
      <c r="K15" s="14">
        <v>97.7</v>
      </c>
      <c r="L15" s="14">
        <v>0</v>
      </c>
      <c r="M15" s="14">
        <v>0</v>
      </c>
      <c r="N15" s="52" t="s">
        <v>30</v>
      </c>
      <c r="O15" s="31"/>
    </row>
    <row r="16" spans="1:15" ht="18" customHeight="1" x14ac:dyDescent="0.15">
      <c r="A16" s="14" t="s">
        <v>39</v>
      </c>
      <c r="B16" s="15" t="s">
        <v>40</v>
      </c>
      <c r="C16" s="14" t="s">
        <v>23</v>
      </c>
      <c r="D16" s="14" t="s">
        <v>41</v>
      </c>
      <c r="E16" s="14" t="s">
        <v>42</v>
      </c>
      <c r="F16" s="14">
        <v>32</v>
      </c>
      <c r="G16" s="14">
        <v>20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52" t="s">
        <v>43</v>
      </c>
      <c r="O16" s="31"/>
    </row>
    <row r="17" spans="1:15" ht="18" customHeight="1" x14ac:dyDescent="0.15">
      <c r="A17" s="14" t="s">
        <v>44</v>
      </c>
      <c r="B17" s="15" t="s">
        <v>45</v>
      </c>
      <c r="C17" s="14" t="s">
        <v>23</v>
      </c>
      <c r="D17" s="14" t="s">
        <v>46</v>
      </c>
      <c r="E17" s="14" t="s">
        <v>47</v>
      </c>
      <c r="F17" s="14">
        <v>412</v>
      </c>
      <c r="G17" s="14">
        <v>412</v>
      </c>
      <c r="H17" s="14">
        <v>184</v>
      </c>
      <c r="I17" s="14">
        <v>404</v>
      </c>
      <c r="J17" s="14">
        <v>412</v>
      </c>
      <c r="K17" s="14">
        <v>412</v>
      </c>
      <c r="L17" s="14">
        <v>412</v>
      </c>
      <c r="M17" s="14">
        <v>412</v>
      </c>
      <c r="N17" s="52" t="s">
        <v>43</v>
      </c>
      <c r="O17" s="31"/>
    </row>
    <row r="18" spans="1:15" ht="18" customHeight="1" x14ac:dyDescent="0.15">
      <c r="A18" s="16"/>
      <c r="B18" s="17" t="s">
        <v>48</v>
      </c>
      <c r="C18" s="16" t="s">
        <v>23</v>
      </c>
      <c r="D18" s="16" t="s">
        <v>37</v>
      </c>
      <c r="E18" s="16" t="s">
        <v>49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53" t="s">
        <v>50</v>
      </c>
      <c r="O18" s="31"/>
    </row>
    <row r="19" spans="1:15" ht="18" customHeight="1" x14ac:dyDescent="0.15">
      <c r="A19" s="14" t="s">
        <v>51</v>
      </c>
      <c r="B19" s="15" t="s">
        <v>52</v>
      </c>
      <c r="C19" s="14" t="s">
        <v>23</v>
      </c>
      <c r="D19" s="14" t="s">
        <v>37</v>
      </c>
      <c r="E19" s="14" t="s">
        <v>53</v>
      </c>
      <c r="F19" s="14">
        <v>450</v>
      </c>
      <c r="G19" s="14">
        <v>450</v>
      </c>
      <c r="H19" s="14">
        <v>225</v>
      </c>
      <c r="I19" s="14">
        <v>180</v>
      </c>
      <c r="J19" s="14">
        <v>450</v>
      </c>
      <c r="K19" s="14">
        <v>450</v>
      </c>
      <c r="L19" s="14">
        <v>226</v>
      </c>
      <c r="M19" s="14">
        <v>226</v>
      </c>
      <c r="N19" s="52" t="s">
        <v>30</v>
      </c>
      <c r="O19" s="31"/>
    </row>
    <row r="20" spans="1:15" ht="18" customHeight="1" x14ac:dyDescent="0.15">
      <c r="A20" s="14" t="s">
        <v>54</v>
      </c>
      <c r="B20" s="15" t="s">
        <v>55</v>
      </c>
      <c r="C20" s="14" t="s">
        <v>23</v>
      </c>
      <c r="D20" s="14" t="s">
        <v>37</v>
      </c>
      <c r="E20" s="14" t="s">
        <v>56</v>
      </c>
      <c r="F20" s="14">
        <v>335</v>
      </c>
      <c r="G20" s="14">
        <v>335</v>
      </c>
      <c r="H20" s="14">
        <v>0</v>
      </c>
      <c r="I20" s="14">
        <v>0</v>
      </c>
      <c r="J20" s="14">
        <v>335</v>
      </c>
      <c r="K20" s="14">
        <v>335</v>
      </c>
      <c r="L20" s="14">
        <v>0</v>
      </c>
      <c r="M20" s="14">
        <v>0</v>
      </c>
      <c r="N20" s="52" t="s">
        <v>30</v>
      </c>
      <c r="O20" s="31"/>
    </row>
    <row r="21" spans="1:15" ht="18" customHeight="1" x14ac:dyDescent="0.15">
      <c r="A21" s="14" t="s">
        <v>57</v>
      </c>
      <c r="B21" s="15" t="s">
        <v>58</v>
      </c>
      <c r="C21" s="14" t="s">
        <v>59</v>
      </c>
      <c r="D21" s="14" t="s">
        <v>37</v>
      </c>
      <c r="E21" s="14" t="s">
        <v>60</v>
      </c>
      <c r="F21" s="14">
        <v>55</v>
      </c>
      <c r="G21" s="14">
        <v>55</v>
      </c>
      <c r="H21" s="14">
        <v>55</v>
      </c>
      <c r="I21" s="14">
        <v>55</v>
      </c>
      <c r="J21" s="14">
        <v>55</v>
      </c>
      <c r="K21" s="14">
        <v>55</v>
      </c>
      <c r="L21" s="14">
        <v>55</v>
      </c>
      <c r="M21" s="14">
        <v>55</v>
      </c>
      <c r="N21" s="52" t="s">
        <v>43</v>
      </c>
      <c r="O21" s="31"/>
    </row>
    <row r="22" spans="1:15" ht="18" customHeight="1" x14ac:dyDescent="0.15">
      <c r="A22" s="14" t="s">
        <v>61</v>
      </c>
      <c r="B22" s="15" t="s">
        <v>62</v>
      </c>
      <c r="C22" s="14" t="s">
        <v>23</v>
      </c>
      <c r="D22" s="14" t="s">
        <v>24</v>
      </c>
      <c r="E22" s="14" t="s">
        <v>29</v>
      </c>
      <c r="F22" s="14">
        <v>210</v>
      </c>
      <c r="G22" s="14">
        <v>115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52" t="s">
        <v>63</v>
      </c>
      <c r="O22" s="31"/>
    </row>
    <row r="23" spans="1:15" ht="18" customHeight="1" x14ac:dyDescent="0.15">
      <c r="A23" s="14" t="s">
        <v>64</v>
      </c>
      <c r="B23" s="15" t="s">
        <v>65</v>
      </c>
      <c r="C23" s="14" t="s">
        <v>23</v>
      </c>
      <c r="D23" s="14" t="s">
        <v>46</v>
      </c>
      <c r="E23" s="14" t="s">
        <v>66</v>
      </c>
      <c r="F23" s="14">
        <v>210</v>
      </c>
      <c r="G23" s="14">
        <v>210</v>
      </c>
      <c r="H23" s="14">
        <v>0</v>
      </c>
      <c r="I23" s="14">
        <v>0</v>
      </c>
      <c r="J23" s="14">
        <v>210</v>
      </c>
      <c r="K23" s="14">
        <v>210</v>
      </c>
      <c r="L23" s="14">
        <v>0</v>
      </c>
      <c r="M23" s="14">
        <v>0</v>
      </c>
      <c r="N23" s="52" t="s">
        <v>30</v>
      </c>
      <c r="O23" s="31"/>
    </row>
    <row r="24" spans="1:15" ht="18" customHeight="1" x14ac:dyDescent="0.15">
      <c r="A24" s="14" t="s">
        <v>67</v>
      </c>
      <c r="B24" s="15" t="s">
        <v>68</v>
      </c>
      <c r="C24" s="14" t="s">
        <v>23</v>
      </c>
      <c r="D24" s="14" t="s">
        <v>46</v>
      </c>
      <c r="E24" s="14" t="s">
        <v>69</v>
      </c>
      <c r="F24" s="14">
        <v>335</v>
      </c>
      <c r="G24" s="14">
        <v>335</v>
      </c>
      <c r="H24" s="14">
        <v>320</v>
      </c>
      <c r="I24" s="14">
        <v>326</v>
      </c>
      <c r="J24" s="14">
        <v>335</v>
      </c>
      <c r="K24" s="14">
        <v>335</v>
      </c>
      <c r="L24" s="14">
        <v>335</v>
      </c>
      <c r="M24" s="14">
        <v>335</v>
      </c>
      <c r="N24" s="52" t="s">
        <v>43</v>
      </c>
      <c r="O24" s="31"/>
    </row>
    <row r="25" spans="1:15" ht="18" customHeight="1" x14ac:dyDescent="0.15">
      <c r="A25" s="14" t="s">
        <v>70</v>
      </c>
      <c r="B25" s="15" t="s">
        <v>71</v>
      </c>
      <c r="C25" s="14" t="s">
        <v>59</v>
      </c>
      <c r="D25" s="14" t="s">
        <v>37</v>
      </c>
      <c r="E25" s="14" t="s">
        <v>72</v>
      </c>
      <c r="F25" s="14">
        <v>102</v>
      </c>
      <c r="G25" s="14">
        <v>102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52" t="s">
        <v>73</v>
      </c>
      <c r="O25" s="31"/>
    </row>
    <row r="26" spans="1:15" ht="18" customHeight="1" x14ac:dyDescent="0.15">
      <c r="A26" s="14" t="s">
        <v>74</v>
      </c>
      <c r="B26" s="15" t="s">
        <v>75</v>
      </c>
      <c r="C26" s="14" t="s">
        <v>59</v>
      </c>
      <c r="D26" s="14" t="s">
        <v>37</v>
      </c>
      <c r="E26" s="14" t="s">
        <v>76</v>
      </c>
      <c r="F26" s="14">
        <v>54</v>
      </c>
      <c r="G26" s="14">
        <v>53.97</v>
      </c>
      <c r="H26" s="14">
        <v>18</v>
      </c>
      <c r="I26" s="14">
        <v>18</v>
      </c>
      <c r="J26" s="14">
        <v>53.97</v>
      </c>
      <c r="K26" s="14">
        <v>53.97</v>
      </c>
      <c r="L26" s="14">
        <v>17</v>
      </c>
      <c r="M26" s="14">
        <v>53</v>
      </c>
      <c r="N26" s="52" t="s">
        <v>73</v>
      </c>
      <c r="O26" s="31"/>
    </row>
    <row r="27" spans="1:15" ht="18" customHeight="1" x14ac:dyDescent="0.15">
      <c r="A27" s="14" t="s">
        <v>77</v>
      </c>
      <c r="B27" s="15" t="s">
        <v>78</v>
      </c>
      <c r="C27" s="14" t="s">
        <v>59</v>
      </c>
      <c r="D27" s="14" t="s">
        <v>79</v>
      </c>
      <c r="E27" s="14" t="s">
        <v>80</v>
      </c>
      <c r="F27" s="14">
        <v>149</v>
      </c>
      <c r="G27" s="14">
        <v>149.36000000000001</v>
      </c>
      <c r="H27" s="14">
        <v>136</v>
      </c>
      <c r="I27" s="14">
        <v>137</v>
      </c>
      <c r="J27" s="14">
        <v>149.36000000000001</v>
      </c>
      <c r="K27" s="14">
        <v>149.36000000000001</v>
      </c>
      <c r="L27" s="14">
        <v>149.36000000000001</v>
      </c>
      <c r="M27" s="14">
        <v>149.36000000000001</v>
      </c>
      <c r="N27" s="52" t="s">
        <v>43</v>
      </c>
      <c r="O27" s="31"/>
    </row>
    <row r="28" spans="1:15" ht="18" customHeight="1" x14ac:dyDescent="0.15">
      <c r="A28" s="14" t="s">
        <v>77</v>
      </c>
      <c r="B28" s="15" t="s">
        <v>81</v>
      </c>
      <c r="C28" s="14" t="s">
        <v>59</v>
      </c>
      <c r="D28" s="14" t="s">
        <v>37</v>
      </c>
      <c r="E28" s="14" t="s">
        <v>82</v>
      </c>
      <c r="F28" s="14">
        <v>55</v>
      </c>
      <c r="G28" s="14">
        <v>55</v>
      </c>
      <c r="H28" s="14">
        <v>0</v>
      </c>
      <c r="I28" s="14">
        <v>35</v>
      </c>
      <c r="J28" s="14">
        <v>55</v>
      </c>
      <c r="K28" s="14">
        <v>55</v>
      </c>
      <c r="L28" s="14">
        <v>17</v>
      </c>
      <c r="M28" s="14">
        <v>35</v>
      </c>
      <c r="N28" s="52" t="s">
        <v>73</v>
      </c>
      <c r="O28" s="31"/>
    </row>
    <row r="29" spans="1:15" ht="18" customHeight="1" x14ac:dyDescent="0.15">
      <c r="A29" s="14" t="s">
        <v>83</v>
      </c>
      <c r="B29" s="15" t="s">
        <v>84</v>
      </c>
      <c r="C29" s="14" t="s">
        <v>59</v>
      </c>
      <c r="D29" s="14" t="s">
        <v>37</v>
      </c>
      <c r="E29" s="14" t="s">
        <v>82</v>
      </c>
      <c r="F29" s="14">
        <v>55</v>
      </c>
      <c r="G29" s="14">
        <v>55</v>
      </c>
      <c r="H29" s="14">
        <v>0</v>
      </c>
      <c r="I29" s="14">
        <v>0</v>
      </c>
      <c r="J29" s="14">
        <v>55</v>
      </c>
      <c r="K29" s="14">
        <v>55</v>
      </c>
      <c r="L29" s="14">
        <v>17</v>
      </c>
      <c r="M29" s="14">
        <v>17</v>
      </c>
      <c r="N29" s="52" t="s">
        <v>73</v>
      </c>
      <c r="O29" s="31"/>
    </row>
    <row r="30" spans="1:15" ht="18" customHeight="1" x14ac:dyDescent="0.15">
      <c r="A30" s="14" t="s">
        <v>85</v>
      </c>
      <c r="B30" s="15" t="s">
        <v>86</v>
      </c>
      <c r="C30" s="14" t="s">
        <v>23</v>
      </c>
      <c r="D30" s="14" t="s">
        <v>37</v>
      </c>
      <c r="E30" s="14"/>
      <c r="F30" s="14">
        <v>80</v>
      </c>
      <c r="G30" s="14">
        <v>33.75</v>
      </c>
      <c r="H30" s="14">
        <v>21</v>
      </c>
      <c r="I30" s="14">
        <v>24</v>
      </c>
      <c r="J30" s="14">
        <v>33</v>
      </c>
      <c r="K30" s="14">
        <v>33</v>
      </c>
      <c r="L30" s="14">
        <v>29</v>
      </c>
      <c r="M30" s="14">
        <v>29</v>
      </c>
      <c r="N30" s="52" t="s">
        <v>87</v>
      </c>
      <c r="O30" s="31"/>
    </row>
    <row r="31" spans="1:15" ht="18" customHeight="1" x14ac:dyDescent="0.15">
      <c r="A31" s="14" t="s">
        <v>85</v>
      </c>
      <c r="B31" s="15" t="s">
        <v>88</v>
      </c>
      <c r="C31" s="14" t="s">
        <v>23</v>
      </c>
      <c r="D31" s="14" t="s">
        <v>37</v>
      </c>
      <c r="E31" s="14" t="s">
        <v>89</v>
      </c>
      <c r="F31" s="14">
        <v>80</v>
      </c>
      <c r="G31" s="14">
        <v>23</v>
      </c>
      <c r="H31" s="14">
        <v>22</v>
      </c>
      <c r="I31" s="14">
        <v>21</v>
      </c>
      <c r="J31" s="14">
        <v>22</v>
      </c>
      <c r="K31" s="14">
        <v>22</v>
      </c>
      <c r="L31" s="14">
        <v>22</v>
      </c>
      <c r="M31" s="14">
        <v>22</v>
      </c>
      <c r="N31" s="52" t="s">
        <v>43</v>
      </c>
      <c r="O31" s="31"/>
    </row>
    <row r="32" spans="1:15" ht="18" customHeight="1" x14ac:dyDescent="0.15">
      <c r="A32" s="14" t="s">
        <v>90</v>
      </c>
      <c r="B32" s="15" t="s">
        <v>91</v>
      </c>
      <c r="C32" s="14" t="s">
        <v>59</v>
      </c>
      <c r="D32" s="14" t="s">
        <v>92</v>
      </c>
      <c r="E32" s="14" t="s">
        <v>93</v>
      </c>
      <c r="F32" s="14">
        <v>52</v>
      </c>
      <c r="G32" s="14">
        <v>52.194000000000003</v>
      </c>
      <c r="H32" s="14">
        <v>40</v>
      </c>
      <c r="I32" s="14">
        <v>50</v>
      </c>
      <c r="J32" s="14">
        <v>52.19</v>
      </c>
      <c r="K32" s="14">
        <v>52.19</v>
      </c>
      <c r="L32" s="14">
        <v>52.19</v>
      </c>
      <c r="M32" s="14">
        <v>52.19</v>
      </c>
      <c r="N32" s="52" t="s">
        <v>43</v>
      </c>
      <c r="O32" s="31"/>
    </row>
    <row r="33" spans="1:15" ht="18" customHeight="1" x14ac:dyDescent="0.15">
      <c r="A33" s="14" t="s">
        <v>94</v>
      </c>
      <c r="B33" s="15" t="s">
        <v>95</v>
      </c>
      <c r="C33" s="14" t="s">
        <v>23</v>
      </c>
      <c r="D33" s="14" t="s">
        <v>24</v>
      </c>
      <c r="E33" s="14" t="s">
        <v>96</v>
      </c>
      <c r="F33" s="14">
        <v>105</v>
      </c>
      <c r="G33" s="14">
        <v>105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52" t="s">
        <v>97</v>
      </c>
      <c r="O33" s="31"/>
    </row>
    <row r="34" spans="1:15" ht="18" customHeight="1" x14ac:dyDescent="0.15">
      <c r="A34" s="14" t="s">
        <v>98</v>
      </c>
      <c r="B34" s="15" t="s">
        <v>99</v>
      </c>
      <c r="C34" s="14" t="s">
        <v>59</v>
      </c>
      <c r="D34" s="14" t="s">
        <v>37</v>
      </c>
      <c r="E34" s="14" t="s">
        <v>100</v>
      </c>
      <c r="F34" s="14">
        <v>300</v>
      </c>
      <c r="G34" s="14">
        <v>300</v>
      </c>
      <c r="H34" s="14">
        <v>245</v>
      </c>
      <c r="I34" s="14">
        <v>290</v>
      </c>
      <c r="J34" s="14">
        <v>300</v>
      </c>
      <c r="K34" s="14">
        <v>300</v>
      </c>
      <c r="L34" s="14">
        <v>300</v>
      </c>
      <c r="M34" s="14">
        <v>300</v>
      </c>
      <c r="N34" s="52" t="s">
        <v>43</v>
      </c>
      <c r="O34" s="31"/>
    </row>
    <row r="35" spans="1:15" ht="18" customHeight="1" x14ac:dyDescent="0.15">
      <c r="A35" s="14" t="s">
        <v>101</v>
      </c>
      <c r="B35" s="15" t="s">
        <v>102</v>
      </c>
      <c r="C35" s="14" t="s">
        <v>59</v>
      </c>
      <c r="D35" s="14" t="s">
        <v>37</v>
      </c>
      <c r="E35" s="14" t="s">
        <v>103</v>
      </c>
      <c r="F35" s="14">
        <v>149</v>
      </c>
      <c r="G35" s="14">
        <v>149</v>
      </c>
      <c r="H35" s="14">
        <v>133</v>
      </c>
      <c r="I35" s="14">
        <v>149</v>
      </c>
      <c r="J35" s="14">
        <v>149</v>
      </c>
      <c r="K35" s="14">
        <v>149</v>
      </c>
      <c r="L35" s="14">
        <v>149</v>
      </c>
      <c r="M35" s="14">
        <v>149</v>
      </c>
      <c r="N35" s="52" t="s">
        <v>43</v>
      </c>
      <c r="O35" s="31"/>
    </row>
    <row r="36" spans="1:15" ht="18" customHeight="1" x14ac:dyDescent="0.15">
      <c r="A36" s="14" t="s">
        <v>104</v>
      </c>
      <c r="B36" s="15" t="s">
        <v>105</v>
      </c>
      <c r="C36" s="14" t="s">
        <v>59</v>
      </c>
      <c r="D36" s="14" t="s">
        <v>92</v>
      </c>
      <c r="E36" s="14" t="s">
        <v>106</v>
      </c>
      <c r="F36" s="14">
        <v>105</v>
      </c>
      <c r="G36" s="14">
        <v>105</v>
      </c>
      <c r="H36" s="14">
        <v>88</v>
      </c>
      <c r="I36" s="14">
        <v>105</v>
      </c>
      <c r="J36" s="14">
        <v>105</v>
      </c>
      <c r="K36" s="14">
        <v>105</v>
      </c>
      <c r="L36" s="14">
        <v>105</v>
      </c>
      <c r="M36" s="14">
        <v>105</v>
      </c>
      <c r="N36" s="52" t="s">
        <v>43</v>
      </c>
      <c r="O36" s="31"/>
    </row>
    <row r="37" spans="1:15" ht="18" customHeight="1" x14ac:dyDescent="0.15">
      <c r="A37" s="14" t="s">
        <v>107</v>
      </c>
      <c r="B37" s="15" t="s">
        <v>108</v>
      </c>
      <c r="C37" s="14" t="s">
        <v>59</v>
      </c>
      <c r="D37" s="14" t="s">
        <v>37</v>
      </c>
      <c r="E37" s="14" t="s">
        <v>109</v>
      </c>
      <c r="F37" s="14">
        <v>104</v>
      </c>
      <c r="G37" s="14">
        <v>104</v>
      </c>
      <c r="H37" s="14">
        <v>0</v>
      </c>
      <c r="I37" s="14">
        <v>0</v>
      </c>
      <c r="J37" s="14">
        <v>104</v>
      </c>
      <c r="K37" s="14">
        <v>104</v>
      </c>
      <c r="L37" s="14">
        <v>0</v>
      </c>
      <c r="M37" s="14">
        <v>0</v>
      </c>
      <c r="N37" s="52" t="s">
        <v>73</v>
      </c>
      <c r="O37" s="31"/>
    </row>
    <row r="38" spans="1:15" ht="18" customHeight="1" x14ac:dyDescent="0.15">
      <c r="A38" s="14" t="s">
        <v>110</v>
      </c>
      <c r="B38" s="15" t="s">
        <v>111</v>
      </c>
      <c r="C38" s="14" t="s">
        <v>59</v>
      </c>
      <c r="D38" s="14" t="s">
        <v>37</v>
      </c>
      <c r="E38" s="14" t="s">
        <v>112</v>
      </c>
      <c r="F38" s="14">
        <v>162</v>
      </c>
      <c r="G38" s="14">
        <v>162</v>
      </c>
      <c r="H38" s="14">
        <v>54</v>
      </c>
      <c r="I38" s="14">
        <v>35</v>
      </c>
      <c r="J38" s="14">
        <v>162</v>
      </c>
      <c r="K38" s="14">
        <v>162</v>
      </c>
      <c r="L38" s="14">
        <v>35</v>
      </c>
      <c r="M38" s="14">
        <v>35</v>
      </c>
      <c r="N38" s="52" t="s">
        <v>73</v>
      </c>
      <c r="O38" s="31"/>
    </row>
    <row r="39" spans="1:15" ht="18" customHeight="1" x14ac:dyDescent="0.15">
      <c r="A39" s="14" t="s">
        <v>113</v>
      </c>
      <c r="B39" s="15" t="s">
        <v>114</v>
      </c>
      <c r="C39" s="14" t="s">
        <v>115</v>
      </c>
      <c r="D39" s="14" t="s">
        <v>37</v>
      </c>
      <c r="E39" s="14"/>
      <c r="F39" s="14">
        <v>35</v>
      </c>
      <c r="G39" s="14">
        <v>35</v>
      </c>
      <c r="H39" s="14">
        <v>32</v>
      </c>
      <c r="I39" s="14">
        <v>0</v>
      </c>
      <c r="J39" s="14">
        <v>33</v>
      </c>
      <c r="K39" s="14">
        <v>0</v>
      </c>
      <c r="L39" s="14">
        <v>33</v>
      </c>
      <c r="M39" s="14">
        <v>0</v>
      </c>
      <c r="N39" s="52" t="s">
        <v>43</v>
      </c>
      <c r="O39" s="31"/>
    </row>
    <row r="40" spans="1:15" ht="18" customHeight="1" x14ac:dyDescent="0.15">
      <c r="A40" s="14" t="s">
        <v>116</v>
      </c>
      <c r="B40" s="15" t="s">
        <v>117</v>
      </c>
      <c r="C40" s="14" t="s">
        <v>59</v>
      </c>
      <c r="D40" s="14" t="s">
        <v>37</v>
      </c>
      <c r="E40" s="14" t="s">
        <v>118</v>
      </c>
      <c r="F40" s="14">
        <v>55</v>
      </c>
      <c r="G40" s="14">
        <v>55</v>
      </c>
      <c r="H40" s="14">
        <v>0</v>
      </c>
      <c r="I40" s="14">
        <v>35</v>
      </c>
      <c r="J40" s="14">
        <v>55</v>
      </c>
      <c r="K40" s="14">
        <v>55</v>
      </c>
      <c r="L40" s="14">
        <v>17</v>
      </c>
      <c r="M40" s="14">
        <v>17</v>
      </c>
      <c r="N40" s="52" t="s">
        <v>73</v>
      </c>
      <c r="O40" s="31"/>
    </row>
    <row r="41" spans="1:15" ht="18" customHeight="1" x14ac:dyDescent="0.15">
      <c r="A41" s="14" t="s">
        <v>119</v>
      </c>
      <c r="B41" s="15" t="s">
        <v>120</v>
      </c>
      <c r="C41" s="14" t="s">
        <v>23</v>
      </c>
      <c r="D41" s="14" t="s">
        <v>37</v>
      </c>
      <c r="E41" s="14"/>
      <c r="F41" s="14">
        <v>584</v>
      </c>
      <c r="G41" s="14">
        <v>584</v>
      </c>
      <c r="H41" s="14">
        <v>565</v>
      </c>
      <c r="I41" s="14">
        <v>450</v>
      </c>
      <c r="J41" s="14">
        <v>584</v>
      </c>
      <c r="K41" s="14">
        <v>584</v>
      </c>
      <c r="L41" s="14">
        <v>526</v>
      </c>
      <c r="M41" s="14">
        <v>526</v>
      </c>
      <c r="N41" s="52" t="s">
        <v>30</v>
      </c>
      <c r="O41" s="31"/>
    </row>
    <row r="42" spans="1:15" ht="18" customHeight="1" x14ac:dyDescent="0.15">
      <c r="A42" s="14" t="s">
        <v>121</v>
      </c>
      <c r="B42" s="15" t="s">
        <v>122</v>
      </c>
      <c r="C42" s="14" t="s">
        <v>123</v>
      </c>
      <c r="D42" s="14" t="s">
        <v>37</v>
      </c>
      <c r="E42" s="14" t="s">
        <v>124</v>
      </c>
      <c r="F42" s="14">
        <v>583</v>
      </c>
      <c r="G42" s="14">
        <v>583</v>
      </c>
      <c r="H42" s="14">
        <v>0</v>
      </c>
      <c r="I42" s="14">
        <v>0</v>
      </c>
      <c r="J42" s="14">
        <v>583</v>
      </c>
      <c r="K42" s="14">
        <v>583</v>
      </c>
      <c r="L42" s="14">
        <v>0</v>
      </c>
      <c r="M42" s="14">
        <v>0</v>
      </c>
      <c r="N42" s="52" t="s">
        <v>30</v>
      </c>
      <c r="O42" s="31"/>
    </row>
    <row r="43" spans="1:15" ht="18" customHeight="1" x14ac:dyDescent="0.15">
      <c r="A43" s="14"/>
      <c r="B43" s="15" t="s">
        <v>125</v>
      </c>
      <c r="C43" s="14" t="s">
        <v>23</v>
      </c>
      <c r="D43" s="14" t="s">
        <v>37</v>
      </c>
      <c r="E43" s="14" t="s">
        <v>126</v>
      </c>
      <c r="F43" s="14">
        <v>0</v>
      </c>
      <c r="G43" s="14">
        <v>718</v>
      </c>
      <c r="H43" s="14">
        <v>0</v>
      </c>
      <c r="I43" s="14">
        <v>0</v>
      </c>
      <c r="J43" s="14">
        <v>718</v>
      </c>
      <c r="K43" s="14">
        <v>718</v>
      </c>
      <c r="L43" s="14">
        <v>0</v>
      </c>
      <c r="M43" s="14">
        <v>0</v>
      </c>
      <c r="N43" s="52" t="s">
        <v>30</v>
      </c>
      <c r="O43" s="31"/>
    </row>
    <row r="44" spans="1:15" ht="18" customHeight="1" x14ac:dyDescent="0.15">
      <c r="A44" s="14"/>
      <c r="B44" s="15" t="s">
        <v>127</v>
      </c>
      <c r="C44" s="14" t="s">
        <v>59</v>
      </c>
      <c r="D44" s="14" t="s">
        <v>79</v>
      </c>
      <c r="E44" s="14" t="s">
        <v>112</v>
      </c>
      <c r="F44" s="14">
        <v>0</v>
      </c>
      <c r="G44" s="14">
        <v>160</v>
      </c>
      <c r="H44" s="14">
        <v>142</v>
      </c>
      <c r="I44" s="14">
        <v>142</v>
      </c>
      <c r="J44" s="14">
        <v>160</v>
      </c>
      <c r="K44" s="14">
        <v>160</v>
      </c>
      <c r="L44" s="14">
        <v>142</v>
      </c>
      <c r="M44" s="14">
        <v>142</v>
      </c>
      <c r="N44" s="52" t="s">
        <v>73</v>
      </c>
      <c r="O44" s="31"/>
    </row>
    <row r="45" spans="1:15" ht="18" customHeight="1" x14ac:dyDescent="0.15">
      <c r="A45" s="39" t="s">
        <v>128</v>
      </c>
      <c r="B45" s="54"/>
      <c r="C45" s="54"/>
      <c r="D45" s="54"/>
      <c r="E45" s="31"/>
      <c r="F45" s="11">
        <v>6001</v>
      </c>
      <c r="G45" s="11">
        <v>6668.9740000000002</v>
      </c>
      <c r="H45" s="11">
        <v>2280</v>
      </c>
      <c r="I45" s="11">
        <v>2456</v>
      </c>
      <c r="J45" s="11">
        <v>5948.22</v>
      </c>
      <c r="K45" s="11">
        <v>5915.22</v>
      </c>
      <c r="L45" s="11">
        <v>2638.55</v>
      </c>
      <c r="M45" s="11">
        <v>2659.55</v>
      </c>
      <c r="N45" s="39"/>
      <c r="O45" s="31"/>
    </row>
    <row r="46" spans="1:15" ht="18" customHeight="1" x14ac:dyDescent="0.15">
      <c r="A46" s="14" t="s">
        <v>129</v>
      </c>
      <c r="B46" s="15" t="s">
        <v>130</v>
      </c>
      <c r="C46" s="14" t="s">
        <v>23</v>
      </c>
      <c r="D46" s="14" t="s">
        <v>24</v>
      </c>
      <c r="E46" s="14" t="s">
        <v>131</v>
      </c>
      <c r="F46" s="14">
        <v>420</v>
      </c>
      <c r="G46" s="14">
        <v>360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52" t="s">
        <v>132</v>
      </c>
      <c r="O46" s="31"/>
    </row>
    <row r="47" spans="1:15" ht="18" customHeight="1" x14ac:dyDescent="0.15">
      <c r="A47" s="14" t="s">
        <v>133</v>
      </c>
      <c r="B47" s="15" t="s">
        <v>134</v>
      </c>
      <c r="C47" s="14" t="s">
        <v>59</v>
      </c>
      <c r="D47" s="14" t="s">
        <v>37</v>
      </c>
      <c r="E47" s="14" t="s">
        <v>135</v>
      </c>
      <c r="F47" s="14">
        <v>25</v>
      </c>
      <c r="G47" s="14">
        <v>25.5</v>
      </c>
      <c r="H47" s="14">
        <v>16</v>
      </c>
      <c r="I47" s="14">
        <v>25.5</v>
      </c>
      <c r="J47" s="14">
        <v>25.5</v>
      </c>
      <c r="K47" s="14">
        <v>25.5</v>
      </c>
      <c r="L47" s="14">
        <v>25.5</v>
      </c>
      <c r="M47" s="14">
        <v>25.5</v>
      </c>
      <c r="N47" s="52" t="s">
        <v>43</v>
      </c>
      <c r="O47" s="31"/>
    </row>
    <row r="48" spans="1:15" ht="18" customHeight="1" x14ac:dyDescent="0.15">
      <c r="A48" s="14" t="s">
        <v>136</v>
      </c>
      <c r="B48" s="15" t="s">
        <v>137</v>
      </c>
      <c r="C48" s="14" t="s">
        <v>115</v>
      </c>
      <c r="D48" s="14" t="s">
        <v>37</v>
      </c>
      <c r="E48" s="14"/>
      <c r="F48" s="14">
        <v>20</v>
      </c>
      <c r="G48" s="14">
        <v>20</v>
      </c>
      <c r="H48" s="14">
        <v>17</v>
      </c>
      <c r="I48" s="14">
        <v>0</v>
      </c>
      <c r="J48" s="14">
        <v>18</v>
      </c>
      <c r="K48" s="14">
        <v>0</v>
      </c>
      <c r="L48" s="14">
        <v>18</v>
      </c>
      <c r="M48" s="14">
        <v>0</v>
      </c>
      <c r="N48" s="52" t="s">
        <v>43</v>
      </c>
      <c r="O48" s="31"/>
    </row>
    <row r="49" spans="1:15" ht="18" customHeight="1" x14ac:dyDescent="0.15">
      <c r="A49" s="14" t="s">
        <v>138</v>
      </c>
      <c r="B49" s="15" t="s">
        <v>139</v>
      </c>
      <c r="C49" s="14" t="s">
        <v>59</v>
      </c>
      <c r="D49" s="14" t="s">
        <v>37</v>
      </c>
      <c r="E49" s="14" t="s">
        <v>140</v>
      </c>
      <c r="F49" s="14">
        <v>50</v>
      </c>
      <c r="G49" s="14">
        <v>50</v>
      </c>
      <c r="H49" s="14">
        <v>19</v>
      </c>
      <c r="I49" s="14">
        <v>50</v>
      </c>
      <c r="J49" s="14">
        <v>50</v>
      </c>
      <c r="K49" s="14">
        <v>50</v>
      </c>
      <c r="L49" s="14">
        <v>19</v>
      </c>
      <c r="M49" s="14">
        <v>50</v>
      </c>
      <c r="N49" s="52" t="s">
        <v>73</v>
      </c>
      <c r="O49" s="31"/>
    </row>
    <row r="50" spans="1:15" ht="18" customHeight="1" x14ac:dyDescent="0.15">
      <c r="A50" s="14" t="s">
        <v>141</v>
      </c>
      <c r="B50" s="15" t="s">
        <v>142</v>
      </c>
      <c r="C50" s="14" t="s">
        <v>143</v>
      </c>
      <c r="D50" s="14" t="s">
        <v>24</v>
      </c>
      <c r="E50" s="14" t="s">
        <v>144</v>
      </c>
      <c r="F50" s="14">
        <v>230</v>
      </c>
      <c r="G50" s="14">
        <v>230</v>
      </c>
      <c r="H50" s="14">
        <v>70</v>
      </c>
      <c r="I50" s="14">
        <v>70</v>
      </c>
      <c r="J50" s="14">
        <v>70</v>
      </c>
      <c r="K50" s="14">
        <v>70</v>
      </c>
      <c r="L50" s="14">
        <v>70</v>
      </c>
      <c r="M50" s="14">
        <v>70</v>
      </c>
      <c r="N50" s="52" t="s">
        <v>43</v>
      </c>
      <c r="O50" s="31"/>
    </row>
    <row r="51" spans="1:15" ht="18" customHeight="1" x14ac:dyDescent="0.15">
      <c r="A51" s="14" t="s">
        <v>145</v>
      </c>
      <c r="B51" s="15" t="s">
        <v>146</v>
      </c>
      <c r="C51" s="14" t="s">
        <v>123</v>
      </c>
      <c r="D51" s="14" t="s">
        <v>24</v>
      </c>
      <c r="E51" s="14" t="s">
        <v>147</v>
      </c>
      <c r="F51" s="14">
        <v>225</v>
      </c>
      <c r="G51" s="14">
        <v>225</v>
      </c>
      <c r="H51" s="14">
        <v>212</v>
      </c>
      <c r="I51" s="14">
        <v>220</v>
      </c>
      <c r="J51" s="14">
        <v>215</v>
      </c>
      <c r="K51" s="14">
        <v>220</v>
      </c>
      <c r="L51" s="14">
        <v>215</v>
      </c>
      <c r="M51" s="14">
        <v>220</v>
      </c>
      <c r="N51" s="52" t="s">
        <v>43</v>
      </c>
      <c r="O51" s="31"/>
    </row>
    <row r="52" spans="1:15" ht="18" customHeight="1" x14ac:dyDescent="0.15">
      <c r="A52" s="14" t="s">
        <v>148</v>
      </c>
      <c r="B52" s="15" t="s">
        <v>149</v>
      </c>
      <c r="C52" s="14" t="s">
        <v>123</v>
      </c>
      <c r="D52" s="14" t="s">
        <v>24</v>
      </c>
      <c r="E52" s="14" t="s">
        <v>150</v>
      </c>
      <c r="F52" s="14">
        <v>150</v>
      </c>
      <c r="G52" s="14">
        <v>150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52" t="s">
        <v>43</v>
      </c>
      <c r="O52" s="31"/>
    </row>
    <row r="53" spans="1:15" ht="18" customHeight="1" x14ac:dyDescent="0.15">
      <c r="A53" s="14" t="s">
        <v>151</v>
      </c>
      <c r="B53" s="15" t="s">
        <v>152</v>
      </c>
      <c r="C53" s="14" t="s">
        <v>59</v>
      </c>
      <c r="D53" s="14" t="s">
        <v>37</v>
      </c>
      <c r="E53" s="14" t="s">
        <v>106</v>
      </c>
      <c r="F53" s="14">
        <v>105</v>
      </c>
      <c r="G53" s="14">
        <v>105</v>
      </c>
      <c r="H53" s="14">
        <v>34</v>
      </c>
      <c r="I53" s="14">
        <v>51</v>
      </c>
      <c r="J53" s="14">
        <v>105</v>
      </c>
      <c r="K53" s="14">
        <v>105</v>
      </c>
      <c r="L53" s="14">
        <v>34</v>
      </c>
      <c r="M53" s="14">
        <v>51</v>
      </c>
      <c r="N53" s="52" t="s">
        <v>73</v>
      </c>
      <c r="O53" s="31"/>
    </row>
    <row r="54" spans="1:15" ht="18" customHeight="1" x14ac:dyDescent="0.15">
      <c r="A54" s="14" t="s">
        <v>153</v>
      </c>
      <c r="B54" s="15" t="s">
        <v>154</v>
      </c>
      <c r="C54" s="14" t="s">
        <v>59</v>
      </c>
      <c r="D54" s="14" t="s">
        <v>24</v>
      </c>
      <c r="E54" s="14" t="s">
        <v>155</v>
      </c>
      <c r="F54" s="14">
        <v>98</v>
      </c>
      <c r="G54" s="14">
        <v>98</v>
      </c>
      <c r="H54" s="14">
        <v>40</v>
      </c>
      <c r="I54" s="14">
        <v>48</v>
      </c>
      <c r="J54" s="14">
        <v>56</v>
      </c>
      <c r="K54" s="14">
        <v>64</v>
      </c>
      <c r="L54" s="14">
        <v>54</v>
      </c>
      <c r="M54" s="14">
        <v>54</v>
      </c>
      <c r="N54" s="52" t="s">
        <v>73</v>
      </c>
      <c r="O54" s="31"/>
    </row>
    <row r="55" spans="1:15" ht="18" customHeight="1" x14ac:dyDescent="0.15">
      <c r="A55" s="14" t="s">
        <v>156</v>
      </c>
      <c r="B55" s="15" t="s">
        <v>157</v>
      </c>
      <c r="C55" s="14" t="s">
        <v>59</v>
      </c>
      <c r="D55" s="14" t="s">
        <v>24</v>
      </c>
      <c r="E55" s="14" t="s">
        <v>158</v>
      </c>
      <c r="F55" s="14">
        <v>102</v>
      </c>
      <c r="G55" s="14">
        <v>102</v>
      </c>
      <c r="H55" s="14">
        <v>0</v>
      </c>
      <c r="I55" s="14">
        <v>67</v>
      </c>
      <c r="J55" s="14">
        <v>68</v>
      </c>
      <c r="K55" s="14">
        <v>68</v>
      </c>
      <c r="L55" s="14">
        <v>34</v>
      </c>
      <c r="M55" s="14">
        <v>68</v>
      </c>
      <c r="N55" s="52" t="s">
        <v>73</v>
      </c>
      <c r="O55" s="31"/>
    </row>
    <row r="56" spans="1:15" ht="18" customHeight="1" x14ac:dyDescent="0.15">
      <c r="A56" s="14" t="s">
        <v>159</v>
      </c>
      <c r="B56" s="15" t="s">
        <v>160</v>
      </c>
      <c r="C56" s="14" t="s">
        <v>59</v>
      </c>
      <c r="D56" s="14" t="s">
        <v>37</v>
      </c>
      <c r="E56" s="14" t="s">
        <v>161</v>
      </c>
      <c r="F56" s="14">
        <v>100</v>
      </c>
      <c r="G56" s="14">
        <v>100</v>
      </c>
      <c r="H56" s="14">
        <v>12</v>
      </c>
      <c r="I56" s="14">
        <v>12</v>
      </c>
      <c r="J56" s="14">
        <v>100</v>
      </c>
      <c r="K56" s="14">
        <v>100</v>
      </c>
      <c r="L56" s="14">
        <v>12</v>
      </c>
      <c r="M56" s="14">
        <v>12</v>
      </c>
      <c r="N56" s="52" t="s">
        <v>73</v>
      </c>
      <c r="O56" s="31"/>
    </row>
    <row r="57" spans="1:15" ht="18" customHeight="1" x14ac:dyDescent="0.15">
      <c r="A57" s="14"/>
      <c r="B57" s="15" t="s">
        <v>162</v>
      </c>
      <c r="C57" s="14" t="s">
        <v>23</v>
      </c>
      <c r="D57" s="14" t="s">
        <v>37</v>
      </c>
      <c r="E57" s="14" t="s">
        <v>163</v>
      </c>
      <c r="F57" s="14">
        <v>42</v>
      </c>
      <c r="G57" s="14">
        <v>42</v>
      </c>
      <c r="H57" s="14">
        <v>2</v>
      </c>
      <c r="I57" s="14">
        <v>16</v>
      </c>
      <c r="J57" s="14">
        <v>5</v>
      </c>
      <c r="K57" s="14">
        <v>24</v>
      </c>
      <c r="L57" s="14">
        <v>5</v>
      </c>
      <c r="M57" s="14">
        <v>24</v>
      </c>
      <c r="N57" s="52" t="s">
        <v>43</v>
      </c>
      <c r="O57" s="31"/>
    </row>
    <row r="58" spans="1:15" ht="18" customHeight="1" x14ac:dyDescent="0.15">
      <c r="A58" s="14" t="s">
        <v>164</v>
      </c>
      <c r="B58" s="15" t="s">
        <v>165</v>
      </c>
      <c r="C58" s="14" t="s">
        <v>59</v>
      </c>
      <c r="D58" s="14" t="s">
        <v>37</v>
      </c>
      <c r="E58" s="14" t="s">
        <v>166</v>
      </c>
      <c r="F58" s="14">
        <v>108</v>
      </c>
      <c r="G58" s="14">
        <v>108</v>
      </c>
      <c r="H58" s="14">
        <v>37</v>
      </c>
      <c r="I58" s="14">
        <v>38</v>
      </c>
      <c r="J58" s="14">
        <v>108</v>
      </c>
      <c r="K58" s="14">
        <v>108</v>
      </c>
      <c r="L58" s="14">
        <v>38</v>
      </c>
      <c r="M58" s="14">
        <v>38</v>
      </c>
      <c r="N58" s="52" t="s">
        <v>73</v>
      </c>
      <c r="O58" s="31"/>
    </row>
    <row r="59" spans="1:15" ht="18" customHeight="1" x14ac:dyDescent="0.15">
      <c r="A59" s="14" t="s">
        <v>167</v>
      </c>
      <c r="B59" s="15" t="s">
        <v>168</v>
      </c>
      <c r="C59" s="14" t="s">
        <v>115</v>
      </c>
      <c r="D59" s="14" t="s">
        <v>24</v>
      </c>
      <c r="E59" s="14"/>
      <c r="F59" s="14">
        <v>7</v>
      </c>
      <c r="G59" s="14">
        <v>6</v>
      </c>
      <c r="H59" s="14">
        <v>4.12</v>
      </c>
      <c r="I59" s="14">
        <v>0</v>
      </c>
      <c r="J59" s="14">
        <v>3.99</v>
      </c>
      <c r="K59" s="14">
        <v>0</v>
      </c>
      <c r="L59" s="14">
        <v>3.99</v>
      </c>
      <c r="M59" s="14">
        <v>0</v>
      </c>
      <c r="N59" s="52" t="s">
        <v>43</v>
      </c>
      <c r="O59" s="31"/>
    </row>
    <row r="60" spans="1:15" ht="18" customHeight="1" x14ac:dyDescent="0.15">
      <c r="A60" s="14" t="s">
        <v>169</v>
      </c>
      <c r="B60" s="15" t="s">
        <v>170</v>
      </c>
      <c r="C60" s="14" t="s">
        <v>59</v>
      </c>
      <c r="D60" s="14" t="s">
        <v>37</v>
      </c>
      <c r="E60" s="14" t="s">
        <v>171</v>
      </c>
      <c r="F60" s="14">
        <v>300</v>
      </c>
      <c r="G60" s="14">
        <v>300</v>
      </c>
      <c r="H60" s="14">
        <v>16</v>
      </c>
      <c r="I60" s="14">
        <v>16</v>
      </c>
      <c r="J60" s="14">
        <v>300</v>
      </c>
      <c r="K60" s="14">
        <v>300</v>
      </c>
      <c r="L60" s="14">
        <v>16</v>
      </c>
      <c r="M60" s="14">
        <v>16</v>
      </c>
      <c r="N60" s="52" t="s">
        <v>73</v>
      </c>
      <c r="O60" s="31"/>
    </row>
    <row r="61" spans="1:15" ht="18" customHeight="1" x14ac:dyDescent="0.15">
      <c r="A61" s="14" t="s">
        <v>172</v>
      </c>
      <c r="B61" s="15" t="s">
        <v>173</v>
      </c>
      <c r="C61" s="14" t="s">
        <v>59</v>
      </c>
      <c r="D61" s="14" t="s">
        <v>37</v>
      </c>
      <c r="E61" s="14" t="s">
        <v>174</v>
      </c>
      <c r="F61" s="14">
        <v>54</v>
      </c>
      <c r="G61" s="14">
        <v>54.363</v>
      </c>
      <c r="H61" s="14">
        <v>0</v>
      </c>
      <c r="I61" s="14">
        <v>18</v>
      </c>
      <c r="J61" s="14">
        <v>54.36</v>
      </c>
      <c r="K61" s="14">
        <v>54.36</v>
      </c>
      <c r="L61" s="14">
        <v>0</v>
      </c>
      <c r="M61" s="14">
        <v>17</v>
      </c>
      <c r="N61" s="52" t="s">
        <v>73</v>
      </c>
      <c r="O61" s="31"/>
    </row>
    <row r="62" spans="1:15" ht="18" customHeight="1" x14ac:dyDescent="0.15">
      <c r="A62" s="14" t="s">
        <v>175</v>
      </c>
      <c r="B62" s="15" t="s">
        <v>176</v>
      </c>
      <c r="C62" s="14" t="s">
        <v>59</v>
      </c>
      <c r="D62" s="14" t="s">
        <v>37</v>
      </c>
      <c r="E62" s="14" t="s">
        <v>177</v>
      </c>
      <c r="F62" s="14">
        <v>110</v>
      </c>
      <c r="G62" s="14">
        <v>110</v>
      </c>
      <c r="H62" s="14">
        <v>55</v>
      </c>
      <c r="I62" s="14">
        <v>56</v>
      </c>
      <c r="J62" s="14">
        <v>110</v>
      </c>
      <c r="K62" s="14">
        <v>110</v>
      </c>
      <c r="L62" s="14">
        <v>54</v>
      </c>
      <c r="M62" s="14">
        <v>54</v>
      </c>
      <c r="N62" s="52" t="s">
        <v>73</v>
      </c>
      <c r="O62" s="31"/>
    </row>
    <row r="63" spans="1:15" ht="18" customHeight="1" x14ac:dyDescent="0.15">
      <c r="A63" s="14" t="s">
        <v>178</v>
      </c>
      <c r="B63" s="15" t="s">
        <v>179</v>
      </c>
      <c r="C63" s="14" t="s">
        <v>59</v>
      </c>
      <c r="D63" s="14" t="s">
        <v>37</v>
      </c>
      <c r="E63" s="14" t="s">
        <v>180</v>
      </c>
      <c r="F63" s="14">
        <v>100</v>
      </c>
      <c r="G63" s="14">
        <v>100</v>
      </c>
      <c r="H63" s="14">
        <v>12</v>
      </c>
      <c r="I63" s="14">
        <v>12</v>
      </c>
      <c r="J63" s="14">
        <v>100</v>
      </c>
      <c r="K63" s="14">
        <v>100</v>
      </c>
      <c r="L63" s="14">
        <v>12</v>
      </c>
      <c r="M63" s="14">
        <v>12</v>
      </c>
      <c r="N63" s="52" t="s">
        <v>73</v>
      </c>
      <c r="O63" s="31"/>
    </row>
    <row r="64" spans="1:15" ht="18" customHeight="1" x14ac:dyDescent="0.15">
      <c r="A64" s="14" t="s">
        <v>181</v>
      </c>
      <c r="B64" s="15" t="s">
        <v>182</v>
      </c>
      <c r="C64" s="14" t="s">
        <v>59</v>
      </c>
      <c r="D64" s="14" t="s">
        <v>37</v>
      </c>
      <c r="E64" s="14" t="s">
        <v>183</v>
      </c>
      <c r="F64" s="14">
        <v>116</v>
      </c>
      <c r="G64" s="14">
        <v>116</v>
      </c>
      <c r="H64" s="14">
        <v>99</v>
      </c>
      <c r="I64" s="14">
        <v>17</v>
      </c>
      <c r="J64" s="14">
        <v>116</v>
      </c>
      <c r="K64" s="14">
        <v>116</v>
      </c>
      <c r="L64" s="14">
        <v>105</v>
      </c>
      <c r="M64" s="14">
        <v>105</v>
      </c>
      <c r="N64" s="52" t="s">
        <v>184</v>
      </c>
      <c r="O64" s="31"/>
    </row>
    <row r="65" spans="1:15" ht="18" customHeight="1" x14ac:dyDescent="0.15">
      <c r="A65" s="14" t="s">
        <v>185</v>
      </c>
      <c r="B65" s="15" t="s">
        <v>186</v>
      </c>
      <c r="C65" s="14" t="s">
        <v>187</v>
      </c>
      <c r="D65" s="14" t="s">
        <v>37</v>
      </c>
      <c r="E65" s="14" t="s">
        <v>188</v>
      </c>
      <c r="F65" s="14">
        <v>163</v>
      </c>
      <c r="G65" s="14">
        <v>163</v>
      </c>
      <c r="H65" s="14">
        <v>17</v>
      </c>
      <c r="I65" s="14">
        <v>163</v>
      </c>
      <c r="J65" s="14">
        <v>163</v>
      </c>
      <c r="K65" s="14">
        <v>163</v>
      </c>
      <c r="L65" s="14">
        <v>17</v>
      </c>
      <c r="M65" s="14">
        <v>163</v>
      </c>
      <c r="N65" s="52" t="s">
        <v>73</v>
      </c>
      <c r="O65" s="31"/>
    </row>
    <row r="66" spans="1:15" ht="18" customHeight="1" x14ac:dyDescent="0.15">
      <c r="A66" s="14" t="s">
        <v>189</v>
      </c>
      <c r="B66" s="15" t="s">
        <v>190</v>
      </c>
      <c r="C66" s="14" t="s">
        <v>191</v>
      </c>
      <c r="D66" s="14" t="s">
        <v>37</v>
      </c>
      <c r="E66" s="14" t="s">
        <v>192</v>
      </c>
      <c r="F66" s="14">
        <v>1224</v>
      </c>
      <c r="G66" s="14">
        <v>1224</v>
      </c>
      <c r="H66" s="14">
        <v>292</v>
      </c>
      <c r="I66" s="14">
        <v>612</v>
      </c>
      <c r="J66" s="14">
        <v>1224</v>
      </c>
      <c r="K66" s="14">
        <v>1224</v>
      </c>
      <c r="L66" s="14">
        <v>310</v>
      </c>
      <c r="M66" s="14">
        <v>310</v>
      </c>
      <c r="N66" s="52" t="s">
        <v>193</v>
      </c>
      <c r="O66" s="31"/>
    </row>
    <row r="67" spans="1:15" ht="18" customHeight="1" x14ac:dyDescent="0.15">
      <c r="A67" s="14" t="s">
        <v>194</v>
      </c>
      <c r="B67" s="15" t="s">
        <v>195</v>
      </c>
      <c r="C67" s="14" t="s">
        <v>196</v>
      </c>
      <c r="D67" s="14" t="s">
        <v>24</v>
      </c>
      <c r="E67" s="14" t="s">
        <v>197</v>
      </c>
      <c r="F67" s="14">
        <v>60</v>
      </c>
      <c r="G67" s="14">
        <v>60</v>
      </c>
      <c r="H67" s="14">
        <v>21</v>
      </c>
      <c r="I67" s="14">
        <v>6</v>
      </c>
      <c r="J67" s="14">
        <v>10</v>
      </c>
      <c r="K67" s="14">
        <v>0</v>
      </c>
      <c r="L67" s="14">
        <v>10</v>
      </c>
      <c r="M67" s="14">
        <v>0</v>
      </c>
      <c r="N67" s="52" t="s">
        <v>43</v>
      </c>
      <c r="O67" s="31"/>
    </row>
    <row r="68" spans="1:15" ht="18" customHeight="1" x14ac:dyDescent="0.15">
      <c r="A68" s="14" t="s">
        <v>198</v>
      </c>
      <c r="B68" s="15" t="s">
        <v>199</v>
      </c>
      <c r="C68" s="14" t="s">
        <v>191</v>
      </c>
      <c r="D68" s="14" t="s">
        <v>200</v>
      </c>
      <c r="E68" s="14" t="s">
        <v>201</v>
      </c>
      <c r="F68" s="14">
        <v>1150</v>
      </c>
      <c r="G68" s="14">
        <v>1150</v>
      </c>
      <c r="H68" s="14">
        <v>160</v>
      </c>
      <c r="I68" s="14">
        <v>160</v>
      </c>
      <c r="J68" s="14">
        <v>160</v>
      </c>
      <c r="K68" s="14">
        <v>160</v>
      </c>
      <c r="L68" s="14">
        <v>160</v>
      </c>
      <c r="M68" s="14">
        <v>160</v>
      </c>
      <c r="N68" s="52" t="s">
        <v>193</v>
      </c>
      <c r="O68" s="31"/>
    </row>
    <row r="69" spans="1:15" ht="18" customHeight="1" x14ac:dyDescent="0.15">
      <c r="A69" s="39" t="s">
        <v>202</v>
      </c>
      <c r="B69" s="54"/>
      <c r="C69" s="54"/>
      <c r="D69" s="54"/>
      <c r="E69" s="31"/>
      <c r="F69" s="11">
        <v>4959</v>
      </c>
      <c r="G69" s="11">
        <v>4898.8630000000003</v>
      </c>
      <c r="H69" s="11">
        <v>1135.1199999999999</v>
      </c>
      <c r="I69" s="11">
        <v>1657.5</v>
      </c>
      <c r="J69" s="11">
        <v>3061.85</v>
      </c>
      <c r="K69" s="11">
        <v>3061.86</v>
      </c>
      <c r="L69" s="11">
        <v>1212.49</v>
      </c>
      <c r="M69" s="11">
        <v>1449.5</v>
      </c>
      <c r="N69" s="39"/>
      <c r="O69" s="31"/>
    </row>
    <row r="70" spans="1:15" ht="18" customHeight="1" x14ac:dyDescent="0.15">
      <c r="A70" s="14" t="s">
        <v>203</v>
      </c>
      <c r="B70" s="15" t="s">
        <v>204</v>
      </c>
      <c r="C70" s="14" t="s">
        <v>23</v>
      </c>
      <c r="D70" s="14" t="s">
        <v>205</v>
      </c>
      <c r="E70" s="14" t="s">
        <v>206</v>
      </c>
      <c r="F70" s="14">
        <v>221</v>
      </c>
      <c r="G70" s="14">
        <v>221</v>
      </c>
      <c r="H70" s="14">
        <v>206</v>
      </c>
      <c r="I70" s="14">
        <v>198</v>
      </c>
      <c r="J70" s="14">
        <v>221</v>
      </c>
      <c r="K70" s="14">
        <v>221</v>
      </c>
      <c r="L70" s="14">
        <v>205</v>
      </c>
      <c r="M70" s="14">
        <v>205</v>
      </c>
      <c r="N70" s="52" t="s">
        <v>30</v>
      </c>
      <c r="O70" s="31"/>
    </row>
    <row r="71" spans="1:15" ht="18" customHeight="1" x14ac:dyDescent="0.15">
      <c r="A71" s="14" t="s">
        <v>207</v>
      </c>
      <c r="B71" s="15" t="s">
        <v>208</v>
      </c>
      <c r="C71" s="14" t="s">
        <v>23</v>
      </c>
      <c r="D71" s="14" t="s">
        <v>205</v>
      </c>
      <c r="E71" s="14" t="s">
        <v>209</v>
      </c>
      <c r="F71" s="14">
        <v>360</v>
      </c>
      <c r="G71" s="14">
        <v>350.01</v>
      </c>
      <c r="H71" s="14">
        <v>0</v>
      </c>
      <c r="I71" s="14">
        <v>0</v>
      </c>
      <c r="J71" s="14">
        <v>240</v>
      </c>
      <c r="K71" s="14">
        <v>240</v>
      </c>
      <c r="L71" s="14">
        <v>0</v>
      </c>
      <c r="M71" s="14">
        <v>0</v>
      </c>
      <c r="N71" s="52" t="s">
        <v>210</v>
      </c>
      <c r="O71" s="31"/>
    </row>
    <row r="72" spans="1:15" ht="18" customHeight="1" x14ac:dyDescent="0.15">
      <c r="A72" s="14" t="s">
        <v>211</v>
      </c>
      <c r="B72" s="15" t="s">
        <v>212</v>
      </c>
      <c r="C72" s="14" t="s">
        <v>23</v>
      </c>
      <c r="D72" s="14" t="s">
        <v>205</v>
      </c>
      <c r="E72" s="14" t="s">
        <v>209</v>
      </c>
      <c r="F72" s="14">
        <v>360</v>
      </c>
      <c r="G72" s="14">
        <v>342.01</v>
      </c>
      <c r="H72" s="14">
        <v>330</v>
      </c>
      <c r="I72" s="14">
        <v>345</v>
      </c>
      <c r="J72" s="14">
        <v>342.01</v>
      </c>
      <c r="K72" s="14">
        <v>342.01</v>
      </c>
      <c r="L72" s="14">
        <v>342.01</v>
      </c>
      <c r="M72" s="14">
        <v>342.01</v>
      </c>
      <c r="N72" s="52" t="s">
        <v>30</v>
      </c>
      <c r="O72" s="31"/>
    </row>
    <row r="73" spans="1:15" ht="18" customHeight="1" x14ac:dyDescent="0.15">
      <c r="A73" s="14" t="s">
        <v>213</v>
      </c>
      <c r="B73" s="15" t="s">
        <v>214</v>
      </c>
      <c r="C73" s="14" t="s">
        <v>23</v>
      </c>
      <c r="D73" s="14" t="s">
        <v>205</v>
      </c>
      <c r="E73" s="14" t="s">
        <v>215</v>
      </c>
      <c r="F73" s="14">
        <v>400</v>
      </c>
      <c r="G73" s="14">
        <v>393</v>
      </c>
      <c r="H73" s="14">
        <v>372</v>
      </c>
      <c r="I73" s="14">
        <v>340</v>
      </c>
      <c r="J73" s="14">
        <v>393</v>
      </c>
      <c r="K73" s="14">
        <v>393</v>
      </c>
      <c r="L73" s="14">
        <v>375</v>
      </c>
      <c r="M73" s="14">
        <v>375</v>
      </c>
      <c r="N73" s="52" t="s">
        <v>30</v>
      </c>
      <c r="O73" s="31"/>
    </row>
    <row r="74" spans="1:15" ht="18" customHeight="1" x14ac:dyDescent="0.15">
      <c r="A74" s="14" t="s">
        <v>216</v>
      </c>
      <c r="B74" s="15" t="s">
        <v>217</v>
      </c>
      <c r="C74" s="14" t="s">
        <v>23</v>
      </c>
      <c r="D74" s="14" t="s">
        <v>205</v>
      </c>
      <c r="E74" s="14" t="s">
        <v>218</v>
      </c>
      <c r="F74" s="14">
        <v>53</v>
      </c>
      <c r="G74" s="14">
        <v>46.701000000000001</v>
      </c>
      <c r="H74" s="14">
        <v>41</v>
      </c>
      <c r="I74" s="14">
        <v>42</v>
      </c>
      <c r="J74" s="14">
        <v>41.65</v>
      </c>
      <c r="K74" s="14">
        <v>41.65</v>
      </c>
      <c r="L74" s="14">
        <v>37</v>
      </c>
      <c r="M74" s="14">
        <v>37</v>
      </c>
      <c r="N74" s="52" t="s">
        <v>30</v>
      </c>
      <c r="O74" s="31"/>
    </row>
    <row r="75" spans="1:15" ht="18" customHeight="1" x14ac:dyDescent="0.15">
      <c r="A75" s="14" t="s">
        <v>219</v>
      </c>
      <c r="B75" s="15" t="s">
        <v>220</v>
      </c>
      <c r="C75" s="14" t="s">
        <v>23</v>
      </c>
      <c r="D75" s="14" t="s">
        <v>221</v>
      </c>
      <c r="E75" s="14" t="s">
        <v>222</v>
      </c>
      <c r="F75" s="14">
        <v>55</v>
      </c>
      <c r="G75" s="14">
        <v>52.823999999999998</v>
      </c>
      <c r="H75" s="14">
        <v>43</v>
      </c>
      <c r="I75" s="14">
        <v>20</v>
      </c>
      <c r="J75" s="14">
        <v>52.82</v>
      </c>
      <c r="K75" s="14">
        <v>52.82</v>
      </c>
      <c r="L75" s="14">
        <v>45</v>
      </c>
      <c r="M75" s="14">
        <v>45</v>
      </c>
      <c r="N75" s="52" t="s">
        <v>30</v>
      </c>
      <c r="O75" s="31"/>
    </row>
    <row r="76" spans="1:15" ht="18" customHeight="1" x14ac:dyDescent="0.15">
      <c r="A76" s="14" t="s">
        <v>223</v>
      </c>
      <c r="B76" s="15" t="s">
        <v>224</v>
      </c>
      <c r="C76" s="14" t="s">
        <v>23</v>
      </c>
      <c r="D76" s="14" t="s">
        <v>37</v>
      </c>
      <c r="E76" s="14" t="s">
        <v>225</v>
      </c>
      <c r="F76" s="14">
        <v>195</v>
      </c>
      <c r="G76" s="14">
        <v>195</v>
      </c>
      <c r="H76" s="14">
        <v>86</v>
      </c>
      <c r="I76" s="14">
        <v>86</v>
      </c>
      <c r="J76" s="14">
        <v>195</v>
      </c>
      <c r="K76" s="14">
        <v>195</v>
      </c>
      <c r="L76" s="14">
        <v>87</v>
      </c>
      <c r="M76" s="14">
        <v>87</v>
      </c>
      <c r="N76" s="52" t="s">
        <v>30</v>
      </c>
      <c r="O76" s="31"/>
    </row>
    <row r="77" spans="1:15" ht="18" customHeight="1" x14ac:dyDescent="0.15">
      <c r="A77" s="14" t="s">
        <v>226</v>
      </c>
      <c r="B77" s="15" t="s">
        <v>227</v>
      </c>
      <c r="C77" s="14" t="s">
        <v>23</v>
      </c>
      <c r="D77" s="14" t="s">
        <v>37</v>
      </c>
      <c r="E77" s="14" t="s">
        <v>228</v>
      </c>
      <c r="F77" s="14">
        <v>51</v>
      </c>
      <c r="G77" s="14">
        <v>51</v>
      </c>
      <c r="H77" s="14">
        <v>44</v>
      </c>
      <c r="I77" s="14">
        <v>44</v>
      </c>
      <c r="J77" s="14">
        <v>51</v>
      </c>
      <c r="K77" s="14">
        <v>51</v>
      </c>
      <c r="L77" s="14">
        <v>44</v>
      </c>
      <c r="M77" s="14">
        <v>44</v>
      </c>
      <c r="N77" s="52" t="s">
        <v>229</v>
      </c>
      <c r="O77" s="31"/>
    </row>
    <row r="78" spans="1:15" ht="18" customHeight="1" x14ac:dyDescent="0.15">
      <c r="A78" s="14" t="s">
        <v>230</v>
      </c>
      <c r="B78" s="15" t="s">
        <v>231</v>
      </c>
      <c r="C78" s="14" t="s">
        <v>59</v>
      </c>
      <c r="D78" s="14" t="s">
        <v>37</v>
      </c>
      <c r="E78" s="14" t="s">
        <v>232</v>
      </c>
      <c r="F78" s="14">
        <v>150</v>
      </c>
      <c r="G78" s="14">
        <v>150</v>
      </c>
      <c r="H78" s="14">
        <v>20</v>
      </c>
      <c r="I78" s="14">
        <v>140</v>
      </c>
      <c r="J78" s="14">
        <v>150</v>
      </c>
      <c r="K78" s="14">
        <v>150</v>
      </c>
      <c r="L78" s="14">
        <v>20</v>
      </c>
      <c r="M78" s="14">
        <v>140</v>
      </c>
      <c r="N78" s="52" t="s">
        <v>233</v>
      </c>
      <c r="O78" s="31"/>
    </row>
    <row r="79" spans="1:15" ht="18" customHeight="1" x14ac:dyDescent="0.15">
      <c r="A79" s="14" t="s">
        <v>234</v>
      </c>
      <c r="B79" s="15" t="s">
        <v>235</v>
      </c>
      <c r="C79" s="14" t="s">
        <v>59</v>
      </c>
      <c r="D79" s="14" t="s">
        <v>24</v>
      </c>
      <c r="E79" s="14" t="s">
        <v>236</v>
      </c>
      <c r="F79" s="14">
        <v>52</v>
      </c>
      <c r="G79" s="14">
        <v>52</v>
      </c>
      <c r="H79" s="14">
        <v>21</v>
      </c>
      <c r="I79" s="14">
        <v>27</v>
      </c>
      <c r="J79" s="14">
        <v>32</v>
      </c>
      <c r="K79" s="14">
        <v>32</v>
      </c>
      <c r="L79" s="14">
        <v>32</v>
      </c>
      <c r="M79" s="14">
        <v>32</v>
      </c>
      <c r="N79" s="52" t="s">
        <v>233</v>
      </c>
      <c r="O79" s="31"/>
    </row>
    <row r="80" spans="1:15" ht="18" customHeight="1" x14ac:dyDescent="0.15">
      <c r="A80" s="14" t="s">
        <v>237</v>
      </c>
      <c r="B80" s="15" t="s">
        <v>238</v>
      </c>
      <c r="C80" s="14" t="s">
        <v>23</v>
      </c>
      <c r="D80" s="14" t="s">
        <v>24</v>
      </c>
      <c r="E80" s="14" t="s">
        <v>239</v>
      </c>
      <c r="F80" s="14">
        <v>163</v>
      </c>
      <c r="G80" s="14">
        <v>163</v>
      </c>
      <c r="H80" s="14">
        <v>0</v>
      </c>
      <c r="I80" s="14">
        <v>0</v>
      </c>
      <c r="J80" s="14">
        <v>163</v>
      </c>
      <c r="K80" s="14">
        <v>163</v>
      </c>
      <c r="L80" s="14">
        <v>0</v>
      </c>
      <c r="M80" s="14">
        <v>0</v>
      </c>
      <c r="N80" s="52" t="s">
        <v>210</v>
      </c>
      <c r="O80" s="31"/>
    </row>
    <row r="81" spans="1:15" ht="18" customHeight="1" x14ac:dyDescent="0.15">
      <c r="A81" s="14" t="s">
        <v>240</v>
      </c>
      <c r="B81" s="15" t="s">
        <v>241</v>
      </c>
      <c r="C81" s="14" t="s">
        <v>59</v>
      </c>
      <c r="D81" s="14" t="s">
        <v>37</v>
      </c>
      <c r="E81" s="14" t="s">
        <v>242</v>
      </c>
      <c r="F81" s="14">
        <v>200</v>
      </c>
      <c r="G81" s="14">
        <v>200</v>
      </c>
      <c r="H81" s="14">
        <v>17</v>
      </c>
      <c r="I81" s="14">
        <v>190</v>
      </c>
      <c r="J81" s="14">
        <v>200</v>
      </c>
      <c r="K81" s="14">
        <v>200</v>
      </c>
      <c r="L81" s="14">
        <v>35</v>
      </c>
      <c r="M81" s="14">
        <v>180</v>
      </c>
      <c r="N81" s="52" t="s">
        <v>184</v>
      </c>
      <c r="O81" s="31"/>
    </row>
    <row r="82" spans="1:15" ht="18" customHeight="1" x14ac:dyDescent="0.15">
      <c r="A82" s="14"/>
      <c r="B82" s="15" t="s">
        <v>243</v>
      </c>
      <c r="C82" s="14" t="s">
        <v>244</v>
      </c>
      <c r="D82" s="14" t="s">
        <v>244</v>
      </c>
      <c r="E82" s="14"/>
      <c r="F82" s="14">
        <v>160</v>
      </c>
      <c r="G82" s="14">
        <v>160</v>
      </c>
      <c r="H82" s="14">
        <v>176</v>
      </c>
      <c r="I82" s="14">
        <v>194</v>
      </c>
      <c r="J82" s="14">
        <v>84</v>
      </c>
      <c r="K82" s="14">
        <v>76</v>
      </c>
      <c r="L82" s="14">
        <v>160</v>
      </c>
      <c r="M82" s="14">
        <v>160</v>
      </c>
      <c r="N82" s="52" t="s">
        <v>43</v>
      </c>
      <c r="O82" s="31"/>
    </row>
    <row r="83" spans="1:15" ht="18" customHeight="1" x14ac:dyDescent="0.15">
      <c r="A83" s="14" t="s">
        <v>245</v>
      </c>
      <c r="B83" s="15" t="s">
        <v>246</v>
      </c>
      <c r="C83" s="14" t="s">
        <v>59</v>
      </c>
      <c r="D83" s="14" t="s">
        <v>37</v>
      </c>
      <c r="E83" s="14" t="s">
        <v>236</v>
      </c>
      <c r="F83" s="14">
        <v>52.2</v>
      </c>
      <c r="G83" s="14">
        <v>52.2</v>
      </c>
      <c r="H83" s="14">
        <v>0</v>
      </c>
      <c r="I83" s="14">
        <v>0</v>
      </c>
      <c r="J83" s="14">
        <v>52.2</v>
      </c>
      <c r="K83" s="14">
        <v>52.2</v>
      </c>
      <c r="L83" s="14">
        <v>0</v>
      </c>
      <c r="M83" s="14">
        <v>0</v>
      </c>
      <c r="N83" s="52" t="s">
        <v>73</v>
      </c>
      <c r="O83" s="31"/>
    </row>
    <row r="84" spans="1:15" ht="18" customHeight="1" x14ac:dyDescent="0.15">
      <c r="A84" s="14" t="s">
        <v>247</v>
      </c>
      <c r="B84" s="15" t="s">
        <v>248</v>
      </c>
      <c r="C84" s="14" t="s">
        <v>23</v>
      </c>
      <c r="D84" s="14" t="s">
        <v>249</v>
      </c>
      <c r="E84" s="14" t="s">
        <v>250</v>
      </c>
      <c r="F84" s="14">
        <v>25</v>
      </c>
      <c r="G84" s="14">
        <v>25</v>
      </c>
      <c r="H84" s="14">
        <v>20</v>
      </c>
      <c r="I84" s="14">
        <v>20</v>
      </c>
      <c r="J84" s="14">
        <v>24.5</v>
      </c>
      <c r="K84" s="14">
        <v>24.5</v>
      </c>
      <c r="L84" s="14">
        <v>20</v>
      </c>
      <c r="M84" s="14">
        <v>20</v>
      </c>
      <c r="N84" s="52" t="s">
        <v>43</v>
      </c>
      <c r="O84" s="31"/>
    </row>
    <row r="85" spans="1:15" ht="18" customHeight="1" x14ac:dyDescent="0.15">
      <c r="A85" s="14" t="s">
        <v>251</v>
      </c>
      <c r="B85" s="15" t="s">
        <v>252</v>
      </c>
      <c r="C85" s="14" t="s">
        <v>59</v>
      </c>
      <c r="D85" s="14" t="s">
        <v>37</v>
      </c>
      <c r="E85" s="14" t="s">
        <v>253</v>
      </c>
      <c r="F85" s="14">
        <v>114</v>
      </c>
      <c r="G85" s="14">
        <v>114</v>
      </c>
      <c r="H85" s="14">
        <v>0</v>
      </c>
      <c r="I85" s="14">
        <v>0</v>
      </c>
      <c r="J85" s="14">
        <v>114</v>
      </c>
      <c r="K85" s="14">
        <v>114</v>
      </c>
      <c r="L85" s="14">
        <v>0</v>
      </c>
      <c r="M85" s="14">
        <v>0</v>
      </c>
      <c r="N85" s="52" t="s">
        <v>73</v>
      </c>
      <c r="O85" s="31"/>
    </row>
    <row r="86" spans="1:15" ht="18" customHeight="1" x14ac:dyDescent="0.15">
      <c r="A86" s="14" t="s">
        <v>254</v>
      </c>
      <c r="B86" s="15" t="s">
        <v>255</v>
      </c>
      <c r="C86" s="14" t="s">
        <v>59</v>
      </c>
      <c r="D86" s="14" t="s">
        <v>37</v>
      </c>
      <c r="E86" s="14" t="s">
        <v>256</v>
      </c>
      <c r="F86" s="14">
        <v>113</v>
      </c>
      <c r="G86" s="14">
        <v>113</v>
      </c>
      <c r="H86" s="14">
        <v>9</v>
      </c>
      <c r="I86" s="14">
        <v>9</v>
      </c>
      <c r="J86" s="14">
        <v>113</v>
      </c>
      <c r="K86" s="14">
        <v>113</v>
      </c>
      <c r="L86" s="14">
        <v>9</v>
      </c>
      <c r="M86" s="14">
        <v>9</v>
      </c>
      <c r="N86" s="52" t="s">
        <v>73</v>
      </c>
      <c r="O86" s="31"/>
    </row>
    <row r="87" spans="1:15" ht="18" customHeight="1" x14ac:dyDescent="0.15">
      <c r="A87" s="14" t="s">
        <v>257</v>
      </c>
      <c r="B87" s="15" t="s">
        <v>258</v>
      </c>
      <c r="C87" s="14" t="s">
        <v>59</v>
      </c>
      <c r="D87" s="14" t="s">
        <v>37</v>
      </c>
      <c r="E87" s="14" t="s">
        <v>259</v>
      </c>
      <c r="F87" s="14">
        <v>115</v>
      </c>
      <c r="G87" s="14">
        <v>115</v>
      </c>
      <c r="H87" s="14">
        <v>20</v>
      </c>
      <c r="I87" s="14">
        <v>51</v>
      </c>
      <c r="J87" s="14">
        <v>115</v>
      </c>
      <c r="K87" s="14">
        <v>115</v>
      </c>
      <c r="L87" s="14">
        <v>0</v>
      </c>
      <c r="M87" s="14">
        <v>51</v>
      </c>
      <c r="N87" s="52" t="s">
        <v>73</v>
      </c>
      <c r="O87" s="31"/>
    </row>
    <row r="88" spans="1:15" ht="18" customHeight="1" x14ac:dyDescent="0.15">
      <c r="A88" s="14" t="s">
        <v>260</v>
      </c>
      <c r="B88" s="15" t="s">
        <v>261</v>
      </c>
      <c r="C88" s="14" t="s">
        <v>115</v>
      </c>
      <c r="D88" s="14" t="s">
        <v>46</v>
      </c>
      <c r="E88" s="14"/>
      <c r="F88" s="14">
        <v>75</v>
      </c>
      <c r="G88" s="14">
        <v>75</v>
      </c>
      <c r="H88" s="14">
        <v>52</v>
      </c>
      <c r="I88" s="14">
        <v>0</v>
      </c>
      <c r="J88" s="14">
        <v>70</v>
      </c>
      <c r="K88" s="14">
        <v>0</v>
      </c>
      <c r="L88" s="14">
        <v>70</v>
      </c>
      <c r="M88" s="14">
        <v>0</v>
      </c>
      <c r="N88" s="52" t="s">
        <v>43</v>
      </c>
      <c r="O88" s="31"/>
    </row>
    <row r="89" spans="1:15" ht="18" customHeight="1" x14ac:dyDescent="0.15">
      <c r="A89" s="39" t="s">
        <v>262</v>
      </c>
      <c r="B89" s="54"/>
      <c r="C89" s="54"/>
      <c r="D89" s="54"/>
      <c r="E89" s="31"/>
      <c r="F89" s="11">
        <v>2914.2</v>
      </c>
      <c r="G89" s="11">
        <v>2870.7449999999999</v>
      </c>
      <c r="H89" s="11">
        <v>1457</v>
      </c>
      <c r="I89" s="11">
        <v>1706</v>
      </c>
      <c r="J89" s="11">
        <v>2654.18</v>
      </c>
      <c r="K89" s="11">
        <v>2576.1799999999998</v>
      </c>
      <c r="L89" s="11">
        <v>1481.01</v>
      </c>
      <c r="M89" s="11">
        <v>1727.01</v>
      </c>
      <c r="N89" s="39"/>
      <c r="O89" s="31"/>
    </row>
    <row r="90" spans="1:15" ht="18" customHeight="1" x14ac:dyDescent="0.15"/>
    <row r="91" spans="1:15" ht="18" customHeight="1" x14ac:dyDescent="0.15"/>
    <row r="92" spans="1:15" ht="18" customHeight="1" x14ac:dyDescent="0.15"/>
    <row r="93" spans="1:15" ht="18" customHeight="1" x14ac:dyDescent="0.15"/>
    <row r="94" spans="1:15" ht="18" customHeight="1" x14ac:dyDescent="0.15"/>
    <row r="95" spans="1:15" ht="18" customHeight="1" x14ac:dyDescent="0.15"/>
    <row r="96" spans="1:15" ht="18" customHeight="1" x14ac:dyDescent="0.15"/>
    <row r="97" spans="1:15" ht="18" customHeight="1" x14ac:dyDescent="0.15"/>
    <row r="98" spans="1:15" ht="18" customHeight="1" x14ac:dyDescent="0.15"/>
    <row r="99" spans="1:15" ht="18" customHeight="1" x14ac:dyDescent="0.15"/>
    <row r="100" spans="1:15" ht="18" customHeight="1" x14ac:dyDescent="0.15"/>
    <row r="101" spans="1:15" ht="18" customHeight="1" x14ac:dyDescent="0.15"/>
    <row r="102" spans="1:15" ht="18" customHeight="1" x14ac:dyDescent="0.15"/>
    <row r="103" spans="1:15" ht="18" customHeight="1" x14ac:dyDescent="0.15"/>
    <row r="104" spans="1:15" ht="18" customHeight="1" x14ac:dyDescent="0.15"/>
    <row r="105" spans="1:15" ht="18" customHeight="1" x14ac:dyDescent="0.15"/>
    <row r="106" spans="1:15" ht="15" customHeight="1" x14ac:dyDescent="0.15">
      <c r="A106" s="44" t="s">
        <v>5</v>
      </c>
      <c r="B106" s="36" t="s">
        <v>6</v>
      </c>
      <c r="C106" s="33" t="s">
        <v>7</v>
      </c>
      <c r="D106" s="36" t="s">
        <v>8</v>
      </c>
      <c r="E106" s="33" t="s">
        <v>9</v>
      </c>
      <c r="F106" s="40"/>
      <c r="G106" s="44" t="s">
        <v>10</v>
      </c>
      <c r="H106" s="45" t="s">
        <v>11</v>
      </c>
      <c r="I106" s="31"/>
      <c r="J106" s="45" t="s">
        <v>12</v>
      </c>
      <c r="K106" s="31"/>
      <c r="L106" s="45" t="s">
        <v>13</v>
      </c>
      <c r="M106" s="31"/>
      <c r="N106" s="33" t="s">
        <v>14</v>
      </c>
      <c r="O106" s="40"/>
    </row>
    <row r="107" spans="1:15" ht="15" customHeight="1" x14ac:dyDescent="0.15">
      <c r="A107" s="37"/>
      <c r="B107" s="37"/>
      <c r="C107" s="34"/>
      <c r="D107" s="37"/>
      <c r="E107" s="34"/>
      <c r="F107" s="41"/>
      <c r="G107" s="37"/>
      <c r="H107" s="6" t="s">
        <v>15</v>
      </c>
      <c r="I107" s="7" t="s">
        <v>16</v>
      </c>
      <c r="J107" s="8" t="str">
        <f>J8</f>
        <v>16-04-2026</v>
      </c>
      <c r="K107" s="7" t="s">
        <v>16</v>
      </c>
      <c r="L107" s="8" t="str">
        <f>L8</f>
        <v>16-04-2026</v>
      </c>
      <c r="M107" s="7" t="s">
        <v>16</v>
      </c>
      <c r="N107" s="34"/>
      <c r="O107" s="41"/>
    </row>
    <row r="108" spans="1:15" ht="15.75" customHeight="1" x14ac:dyDescent="0.15">
      <c r="A108" s="37"/>
      <c r="B108" s="38"/>
      <c r="C108" s="35"/>
      <c r="D108" s="38"/>
      <c r="E108" s="42"/>
      <c r="F108" s="43"/>
      <c r="G108" s="38"/>
      <c r="H108" s="9" t="s">
        <v>17</v>
      </c>
      <c r="I108" s="9" t="s">
        <v>18</v>
      </c>
      <c r="J108" s="9" t="s">
        <v>17</v>
      </c>
      <c r="K108" s="9" t="s">
        <v>18</v>
      </c>
      <c r="L108" s="9" t="s">
        <v>17</v>
      </c>
      <c r="M108" s="9" t="s">
        <v>18</v>
      </c>
      <c r="N108" s="42"/>
      <c r="O108" s="43"/>
    </row>
    <row r="109" spans="1:15" ht="18.75" customHeight="1" x14ac:dyDescent="0.15">
      <c r="A109" s="10"/>
      <c r="B109" s="39"/>
      <c r="C109" s="31"/>
      <c r="D109" s="11"/>
      <c r="E109" s="12" t="s">
        <v>19</v>
      </c>
      <c r="F109" s="13" t="s">
        <v>20</v>
      </c>
      <c r="G109" s="13" t="s">
        <v>20</v>
      </c>
      <c r="H109" s="11" t="s">
        <v>20</v>
      </c>
      <c r="I109" s="11" t="s">
        <v>20</v>
      </c>
      <c r="J109" s="11" t="s">
        <v>20</v>
      </c>
      <c r="K109" s="11" t="s">
        <v>20</v>
      </c>
      <c r="L109" s="11" t="s">
        <v>20</v>
      </c>
      <c r="M109" s="11" t="s">
        <v>20</v>
      </c>
      <c r="N109" s="51"/>
      <c r="O109" s="31"/>
    </row>
    <row r="110" spans="1:15" ht="18" customHeight="1" x14ac:dyDescent="0.15">
      <c r="A110" s="14" t="s">
        <v>263</v>
      </c>
      <c r="B110" s="15" t="s">
        <v>264</v>
      </c>
      <c r="C110" s="14" t="s">
        <v>23</v>
      </c>
      <c r="D110" s="14" t="s">
        <v>92</v>
      </c>
      <c r="E110" s="14" t="s">
        <v>265</v>
      </c>
      <c r="F110" s="14">
        <v>210</v>
      </c>
      <c r="G110" s="14">
        <v>210</v>
      </c>
      <c r="H110" s="14">
        <v>67</v>
      </c>
      <c r="I110" s="14">
        <v>70</v>
      </c>
      <c r="J110" s="14">
        <v>157.5</v>
      </c>
      <c r="K110" s="14">
        <v>157.5</v>
      </c>
      <c r="L110" s="14">
        <v>20</v>
      </c>
      <c r="M110" s="14">
        <v>20</v>
      </c>
      <c r="N110" s="52" t="s">
        <v>87</v>
      </c>
      <c r="O110" s="31"/>
    </row>
    <row r="111" spans="1:15" ht="18" customHeight="1" x14ac:dyDescent="0.15">
      <c r="A111" s="14" t="s">
        <v>266</v>
      </c>
      <c r="B111" s="15" t="s">
        <v>267</v>
      </c>
      <c r="C111" s="14" t="s">
        <v>115</v>
      </c>
      <c r="D111" s="14" t="s">
        <v>37</v>
      </c>
      <c r="E111" s="14"/>
      <c r="F111" s="14">
        <v>3</v>
      </c>
      <c r="G111" s="14">
        <v>2.71</v>
      </c>
      <c r="H111" s="14">
        <v>1.97</v>
      </c>
      <c r="I111" s="14">
        <v>0</v>
      </c>
      <c r="J111" s="14">
        <v>2.1</v>
      </c>
      <c r="K111" s="14">
        <v>0</v>
      </c>
      <c r="L111" s="14">
        <v>2.1</v>
      </c>
      <c r="M111" s="14">
        <v>0</v>
      </c>
      <c r="N111" s="52" t="s">
        <v>43</v>
      </c>
      <c r="O111" s="31"/>
    </row>
    <row r="112" spans="1:15" ht="18" customHeight="1" x14ac:dyDescent="0.15">
      <c r="A112" s="14" t="s">
        <v>268</v>
      </c>
      <c r="B112" s="15" t="s">
        <v>269</v>
      </c>
      <c r="C112" s="14" t="s">
        <v>59</v>
      </c>
      <c r="D112" s="14" t="s">
        <v>37</v>
      </c>
      <c r="E112" s="14" t="s">
        <v>270</v>
      </c>
      <c r="F112" s="14">
        <v>200</v>
      </c>
      <c r="G112" s="14">
        <v>200</v>
      </c>
      <c r="H112" s="14">
        <v>58</v>
      </c>
      <c r="I112" s="14">
        <v>61</v>
      </c>
      <c r="J112" s="14">
        <v>60</v>
      </c>
      <c r="K112" s="14">
        <v>60</v>
      </c>
      <c r="L112" s="14">
        <v>10</v>
      </c>
      <c r="M112" s="14">
        <v>50</v>
      </c>
      <c r="N112" s="52" t="s">
        <v>73</v>
      </c>
      <c r="O112" s="31"/>
    </row>
    <row r="113" spans="1:15" ht="18" customHeight="1" x14ac:dyDescent="0.15">
      <c r="A113" s="14" t="s">
        <v>271</v>
      </c>
      <c r="B113" s="15" t="s">
        <v>272</v>
      </c>
      <c r="C113" s="14" t="s">
        <v>59</v>
      </c>
      <c r="D113" s="14" t="s">
        <v>37</v>
      </c>
      <c r="E113" s="14" t="s">
        <v>273</v>
      </c>
      <c r="F113" s="14">
        <v>115</v>
      </c>
      <c r="G113" s="14">
        <v>115</v>
      </c>
      <c r="H113" s="14">
        <v>9</v>
      </c>
      <c r="I113" s="14">
        <v>9</v>
      </c>
      <c r="J113" s="14">
        <v>10</v>
      </c>
      <c r="K113" s="14">
        <v>10</v>
      </c>
      <c r="L113" s="14">
        <v>60</v>
      </c>
      <c r="M113" s="14">
        <v>60</v>
      </c>
      <c r="N113" s="52" t="s">
        <v>73</v>
      </c>
      <c r="O113" s="31"/>
    </row>
    <row r="114" spans="1:15" ht="18" customHeight="1" x14ac:dyDescent="0.15">
      <c r="A114" s="14" t="s">
        <v>274</v>
      </c>
      <c r="B114" s="15" t="s">
        <v>275</v>
      </c>
      <c r="C114" s="14" t="s">
        <v>115</v>
      </c>
      <c r="D114" s="14" t="s">
        <v>37</v>
      </c>
      <c r="E114" s="14"/>
      <c r="F114" s="14">
        <v>50</v>
      </c>
      <c r="G114" s="14">
        <v>50</v>
      </c>
      <c r="H114" s="14">
        <v>20.76</v>
      </c>
      <c r="I114" s="14">
        <v>0</v>
      </c>
      <c r="J114" s="14">
        <v>46</v>
      </c>
      <c r="K114" s="14">
        <v>0</v>
      </c>
      <c r="L114" s="14">
        <v>46</v>
      </c>
      <c r="M114" s="14">
        <v>0</v>
      </c>
      <c r="N114" s="52" t="s">
        <v>43</v>
      </c>
      <c r="O114" s="31"/>
    </row>
    <row r="115" spans="1:15" ht="18" customHeight="1" x14ac:dyDescent="0.15">
      <c r="A115" s="14" t="s">
        <v>276</v>
      </c>
      <c r="B115" s="15" t="s">
        <v>277</v>
      </c>
      <c r="C115" s="14" t="s">
        <v>59</v>
      </c>
      <c r="D115" s="14" t="s">
        <v>37</v>
      </c>
      <c r="E115" s="14" t="s">
        <v>278</v>
      </c>
      <c r="F115" s="14">
        <v>22</v>
      </c>
      <c r="G115" s="14">
        <v>22</v>
      </c>
      <c r="H115" s="14">
        <v>0</v>
      </c>
      <c r="I115" s="14">
        <v>12</v>
      </c>
      <c r="J115" s="14">
        <v>22</v>
      </c>
      <c r="K115" s="14">
        <v>22</v>
      </c>
      <c r="L115" s="14">
        <v>12</v>
      </c>
      <c r="M115" s="14">
        <v>12</v>
      </c>
      <c r="N115" s="52" t="s">
        <v>73</v>
      </c>
      <c r="O115" s="31"/>
    </row>
    <row r="116" spans="1:15" ht="18" customHeight="1" x14ac:dyDescent="0.15">
      <c r="A116" s="14" t="s">
        <v>279</v>
      </c>
      <c r="B116" s="15" t="s">
        <v>280</v>
      </c>
      <c r="C116" s="14" t="s">
        <v>59</v>
      </c>
      <c r="D116" s="14" t="s">
        <v>37</v>
      </c>
      <c r="E116" s="14" t="s">
        <v>281</v>
      </c>
      <c r="F116" s="14">
        <v>54</v>
      </c>
      <c r="G116" s="14">
        <v>54.5</v>
      </c>
      <c r="H116" s="14">
        <v>0</v>
      </c>
      <c r="I116" s="14">
        <v>35</v>
      </c>
      <c r="J116" s="14">
        <v>54.5</v>
      </c>
      <c r="K116" s="14">
        <v>54.5</v>
      </c>
      <c r="L116" s="14">
        <v>17</v>
      </c>
      <c r="M116" s="14">
        <v>17</v>
      </c>
      <c r="N116" s="52" t="s">
        <v>73</v>
      </c>
      <c r="O116" s="31"/>
    </row>
    <row r="117" spans="1:15" ht="18" customHeight="1" x14ac:dyDescent="0.15">
      <c r="A117" s="39" t="s">
        <v>282</v>
      </c>
      <c r="B117" s="54"/>
      <c r="C117" s="54"/>
      <c r="D117" s="54"/>
      <c r="E117" s="31"/>
      <c r="F117" s="11">
        <v>654</v>
      </c>
      <c r="G117" s="11">
        <v>654.21</v>
      </c>
      <c r="H117" s="11">
        <v>156.72999999999999</v>
      </c>
      <c r="I117" s="11">
        <v>187</v>
      </c>
      <c r="J117" s="11">
        <v>352.1</v>
      </c>
      <c r="K117" s="11">
        <v>304</v>
      </c>
      <c r="L117" s="11">
        <v>167.1</v>
      </c>
      <c r="M117" s="11">
        <v>159</v>
      </c>
      <c r="N117" s="39"/>
      <c r="O117" s="31"/>
    </row>
    <row r="118" spans="1:15" ht="18" customHeight="1" x14ac:dyDescent="0.15">
      <c r="A118" s="14"/>
      <c r="B118" s="15" t="s">
        <v>283</v>
      </c>
      <c r="C118" s="14" t="s">
        <v>115</v>
      </c>
      <c r="D118" s="14" t="s">
        <v>37</v>
      </c>
      <c r="E118" s="14" t="s">
        <v>284</v>
      </c>
      <c r="F118" s="14">
        <v>0</v>
      </c>
      <c r="G118" s="14">
        <v>0</v>
      </c>
      <c r="H118" s="14">
        <v>12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52" t="s">
        <v>43</v>
      </c>
      <c r="O118" s="31"/>
    </row>
    <row r="119" spans="1:15" ht="18" customHeight="1" x14ac:dyDescent="0.15">
      <c r="A119" s="14" t="s">
        <v>285</v>
      </c>
      <c r="B119" s="15" t="s">
        <v>286</v>
      </c>
      <c r="C119" s="14" t="s">
        <v>23</v>
      </c>
      <c r="D119" s="14" t="s">
        <v>24</v>
      </c>
      <c r="E119" s="14" t="s">
        <v>287</v>
      </c>
      <c r="F119" s="14">
        <v>97</v>
      </c>
      <c r="G119" s="14">
        <v>90</v>
      </c>
      <c r="H119" s="14">
        <v>42</v>
      </c>
      <c r="I119" s="14">
        <v>42</v>
      </c>
      <c r="J119" s="14">
        <v>42</v>
      </c>
      <c r="K119" s="14">
        <v>42</v>
      </c>
      <c r="L119" s="14">
        <v>30</v>
      </c>
      <c r="M119" s="14">
        <v>30</v>
      </c>
      <c r="N119" s="52" t="s">
        <v>43</v>
      </c>
      <c r="O119" s="31"/>
    </row>
    <row r="120" spans="1:15" ht="18" customHeight="1" x14ac:dyDescent="0.15">
      <c r="A120" s="14" t="s">
        <v>288</v>
      </c>
      <c r="B120" s="15" t="s">
        <v>289</v>
      </c>
      <c r="C120" s="14" t="s">
        <v>23</v>
      </c>
      <c r="D120" s="14" t="s">
        <v>24</v>
      </c>
      <c r="E120" s="14" t="s">
        <v>290</v>
      </c>
      <c r="F120" s="14">
        <v>104</v>
      </c>
      <c r="G120" s="14">
        <v>90</v>
      </c>
      <c r="H120" s="14">
        <v>30</v>
      </c>
      <c r="I120" s="14">
        <v>30</v>
      </c>
      <c r="J120" s="14">
        <v>0</v>
      </c>
      <c r="K120" s="14">
        <v>0</v>
      </c>
      <c r="L120" s="14">
        <v>0</v>
      </c>
      <c r="M120" s="14">
        <v>0</v>
      </c>
      <c r="N120" s="52" t="s">
        <v>291</v>
      </c>
      <c r="O120" s="31"/>
    </row>
    <row r="121" spans="1:15" ht="18" customHeight="1" x14ac:dyDescent="0.15">
      <c r="A121" s="14" t="s">
        <v>292</v>
      </c>
      <c r="B121" s="15" t="s">
        <v>293</v>
      </c>
      <c r="C121" s="14" t="s">
        <v>23</v>
      </c>
      <c r="D121" s="14" t="s">
        <v>37</v>
      </c>
      <c r="E121" s="14" t="s">
        <v>294</v>
      </c>
      <c r="F121" s="14">
        <v>163</v>
      </c>
      <c r="G121" s="14">
        <v>163</v>
      </c>
      <c r="H121" s="14">
        <v>156</v>
      </c>
      <c r="I121" s="14">
        <v>153</v>
      </c>
      <c r="J121" s="14">
        <v>163</v>
      </c>
      <c r="K121" s="14">
        <v>163</v>
      </c>
      <c r="L121" s="14">
        <v>147</v>
      </c>
      <c r="M121" s="14">
        <v>147</v>
      </c>
      <c r="N121" s="52" t="s">
        <v>184</v>
      </c>
      <c r="O121" s="31"/>
    </row>
    <row r="122" spans="1:15" ht="18" customHeight="1" x14ac:dyDescent="0.15">
      <c r="A122" s="14" t="s">
        <v>295</v>
      </c>
      <c r="B122" s="15" t="s">
        <v>296</v>
      </c>
      <c r="C122" s="14" t="s">
        <v>23</v>
      </c>
      <c r="D122" s="14" t="s">
        <v>24</v>
      </c>
      <c r="E122" s="14" t="s">
        <v>297</v>
      </c>
      <c r="F122" s="14">
        <v>330</v>
      </c>
      <c r="G122" s="14">
        <v>330</v>
      </c>
      <c r="H122" s="14">
        <v>101</v>
      </c>
      <c r="I122" s="14">
        <v>102</v>
      </c>
      <c r="J122" s="14">
        <v>100</v>
      </c>
      <c r="K122" s="14">
        <v>100</v>
      </c>
      <c r="L122" s="14">
        <v>100</v>
      </c>
      <c r="M122" s="14">
        <v>100</v>
      </c>
      <c r="N122" s="52" t="s">
        <v>43</v>
      </c>
      <c r="O122" s="31"/>
    </row>
    <row r="123" spans="1:15" ht="18" customHeight="1" x14ac:dyDescent="0.15">
      <c r="A123" s="14" t="s">
        <v>298</v>
      </c>
      <c r="B123" s="15" t="s">
        <v>299</v>
      </c>
      <c r="C123" s="14" t="s">
        <v>23</v>
      </c>
      <c r="D123" s="14" t="s">
        <v>24</v>
      </c>
      <c r="E123" s="14" t="s">
        <v>300</v>
      </c>
      <c r="F123" s="14">
        <v>70</v>
      </c>
      <c r="G123" s="14">
        <v>66</v>
      </c>
      <c r="H123" s="14">
        <v>30</v>
      </c>
      <c r="I123" s="14">
        <v>30</v>
      </c>
      <c r="J123" s="14">
        <v>30</v>
      </c>
      <c r="K123" s="14">
        <v>30</v>
      </c>
      <c r="L123" s="14">
        <v>30</v>
      </c>
      <c r="M123" s="14">
        <v>30</v>
      </c>
      <c r="N123" s="52" t="s">
        <v>301</v>
      </c>
      <c r="O123" s="31"/>
    </row>
    <row r="124" spans="1:15" ht="18" customHeight="1" x14ac:dyDescent="0.15">
      <c r="A124" s="14" t="s">
        <v>302</v>
      </c>
      <c r="B124" s="15" t="s">
        <v>303</v>
      </c>
      <c r="C124" s="14" t="s">
        <v>23</v>
      </c>
      <c r="D124" s="14" t="s">
        <v>304</v>
      </c>
      <c r="E124" s="14" t="s">
        <v>305</v>
      </c>
      <c r="F124" s="14">
        <v>86</v>
      </c>
      <c r="G124" s="14">
        <v>86</v>
      </c>
      <c r="H124" s="14">
        <v>52</v>
      </c>
      <c r="I124" s="14">
        <v>33</v>
      </c>
      <c r="J124" s="14">
        <v>83</v>
      </c>
      <c r="K124" s="14">
        <v>83</v>
      </c>
      <c r="L124" s="14">
        <v>53</v>
      </c>
      <c r="M124" s="14">
        <v>53</v>
      </c>
      <c r="N124" s="52" t="s">
        <v>306</v>
      </c>
      <c r="O124" s="31"/>
    </row>
    <row r="125" spans="1:15" ht="18" customHeight="1" x14ac:dyDescent="0.15">
      <c r="A125" s="14" t="s">
        <v>307</v>
      </c>
      <c r="B125" s="15" t="s">
        <v>308</v>
      </c>
      <c r="C125" s="14" t="s">
        <v>23</v>
      </c>
      <c r="D125" s="14" t="s">
        <v>24</v>
      </c>
      <c r="E125" s="14" t="s">
        <v>309</v>
      </c>
      <c r="F125" s="14">
        <v>100</v>
      </c>
      <c r="G125" s="14">
        <v>100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52" t="s">
        <v>310</v>
      </c>
      <c r="O125" s="31"/>
    </row>
    <row r="126" spans="1:15" ht="18" customHeight="1" x14ac:dyDescent="0.15">
      <c r="A126" s="14" t="s">
        <v>311</v>
      </c>
      <c r="B126" s="15" t="s">
        <v>312</v>
      </c>
      <c r="C126" s="14" t="s">
        <v>23</v>
      </c>
      <c r="D126" s="14" t="s">
        <v>24</v>
      </c>
      <c r="E126" s="14" t="s">
        <v>313</v>
      </c>
      <c r="F126" s="14">
        <v>231</v>
      </c>
      <c r="G126" s="14">
        <v>231</v>
      </c>
      <c r="H126" s="14">
        <v>97</v>
      </c>
      <c r="I126" s="14">
        <v>95</v>
      </c>
      <c r="J126" s="14">
        <v>100</v>
      </c>
      <c r="K126" s="14">
        <v>100</v>
      </c>
      <c r="L126" s="14">
        <v>100</v>
      </c>
      <c r="M126" s="14">
        <v>100</v>
      </c>
      <c r="N126" s="52" t="s">
        <v>314</v>
      </c>
      <c r="O126" s="31"/>
    </row>
    <row r="127" spans="1:15" ht="18" customHeight="1" x14ac:dyDescent="0.15">
      <c r="A127" s="14" t="s">
        <v>315</v>
      </c>
      <c r="B127" s="15" t="s">
        <v>316</v>
      </c>
      <c r="C127" s="14" t="s">
        <v>23</v>
      </c>
      <c r="D127" s="14" t="s">
        <v>24</v>
      </c>
      <c r="E127" s="14" t="s">
        <v>317</v>
      </c>
      <c r="F127" s="14">
        <v>20</v>
      </c>
      <c r="G127" s="14">
        <v>20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52" t="s">
        <v>43</v>
      </c>
      <c r="O127" s="31"/>
    </row>
    <row r="128" spans="1:15" ht="18" customHeight="1" x14ac:dyDescent="0.15">
      <c r="A128" s="14" t="s">
        <v>318</v>
      </c>
      <c r="B128" s="15" t="s">
        <v>319</v>
      </c>
      <c r="C128" s="14" t="s">
        <v>23</v>
      </c>
      <c r="D128" s="14" t="s">
        <v>249</v>
      </c>
      <c r="E128" s="14" t="s">
        <v>320</v>
      </c>
      <c r="F128" s="14">
        <v>25</v>
      </c>
      <c r="G128" s="14">
        <v>25</v>
      </c>
      <c r="H128" s="14">
        <v>17</v>
      </c>
      <c r="I128" s="14">
        <v>17</v>
      </c>
      <c r="J128" s="14">
        <v>25</v>
      </c>
      <c r="K128" s="14">
        <v>25</v>
      </c>
      <c r="L128" s="14">
        <v>17</v>
      </c>
      <c r="M128" s="14">
        <v>17</v>
      </c>
      <c r="N128" s="52" t="s">
        <v>229</v>
      </c>
      <c r="O128" s="31"/>
    </row>
    <row r="129" spans="1:15" ht="18" customHeight="1" x14ac:dyDescent="0.15">
      <c r="A129" s="14" t="s">
        <v>321</v>
      </c>
      <c r="B129" s="15" t="s">
        <v>322</v>
      </c>
      <c r="C129" s="14" t="s">
        <v>23</v>
      </c>
      <c r="D129" s="14" t="s">
        <v>37</v>
      </c>
      <c r="E129" s="14" t="s">
        <v>323</v>
      </c>
      <c r="F129" s="14">
        <v>341</v>
      </c>
      <c r="G129" s="14">
        <v>341</v>
      </c>
      <c r="H129" s="14">
        <v>320</v>
      </c>
      <c r="I129" s="14">
        <v>305</v>
      </c>
      <c r="J129" s="14">
        <v>341</v>
      </c>
      <c r="K129" s="14">
        <v>341</v>
      </c>
      <c r="L129" s="14">
        <v>307</v>
      </c>
      <c r="M129" s="14">
        <v>307</v>
      </c>
      <c r="N129" s="52" t="s">
        <v>184</v>
      </c>
      <c r="O129" s="31"/>
    </row>
    <row r="130" spans="1:15" ht="18" customHeight="1" x14ac:dyDescent="0.15">
      <c r="A130" s="14" t="s">
        <v>324</v>
      </c>
      <c r="B130" s="15" t="s">
        <v>325</v>
      </c>
      <c r="C130" s="14" t="s">
        <v>23</v>
      </c>
      <c r="D130" s="14" t="s">
        <v>24</v>
      </c>
      <c r="E130" s="14" t="s">
        <v>326</v>
      </c>
      <c r="F130" s="14">
        <v>400</v>
      </c>
      <c r="G130" s="14">
        <v>400</v>
      </c>
      <c r="H130" s="14">
        <v>349</v>
      </c>
      <c r="I130" s="14">
        <v>337</v>
      </c>
      <c r="J130" s="14">
        <v>350</v>
      </c>
      <c r="K130" s="14">
        <v>350</v>
      </c>
      <c r="L130" s="14">
        <v>320</v>
      </c>
      <c r="M130" s="14">
        <v>320</v>
      </c>
      <c r="N130" s="52" t="s">
        <v>184</v>
      </c>
      <c r="O130" s="31"/>
    </row>
    <row r="131" spans="1:15" ht="18" customHeight="1" x14ac:dyDescent="0.15">
      <c r="A131" s="14" t="s">
        <v>327</v>
      </c>
      <c r="B131" s="15" t="s">
        <v>328</v>
      </c>
      <c r="C131" s="14" t="s">
        <v>23</v>
      </c>
      <c r="D131" s="14" t="s">
        <v>24</v>
      </c>
      <c r="E131" s="14" t="s">
        <v>329</v>
      </c>
      <c r="F131" s="14">
        <v>383</v>
      </c>
      <c r="G131" s="14">
        <v>383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52" t="s">
        <v>210</v>
      </c>
      <c r="O131" s="31"/>
    </row>
    <row r="132" spans="1:15" ht="18" customHeight="1" x14ac:dyDescent="0.15">
      <c r="A132" s="39" t="s">
        <v>330</v>
      </c>
      <c r="B132" s="54"/>
      <c r="C132" s="54"/>
      <c r="D132" s="54"/>
      <c r="E132" s="31"/>
      <c r="F132" s="11">
        <v>2350</v>
      </c>
      <c r="G132" s="11">
        <v>2325</v>
      </c>
      <c r="H132" s="11">
        <v>1206</v>
      </c>
      <c r="I132" s="11">
        <v>1144</v>
      </c>
      <c r="J132" s="11">
        <v>1234</v>
      </c>
      <c r="K132" s="11">
        <v>1234</v>
      </c>
      <c r="L132" s="11">
        <v>1104</v>
      </c>
      <c r="M132" s="11">
        <v>1104</v>
      </c>
      <c r="N132" s="39"/>
      <c r="O132" s="31"/>
    </row>
    <row r="133" spans="1:15" ht="18" customHeight="1" x14ac:dyDescent="0.15">
      <c r="A133" s="16" t="s">
        <v>331</v>
      </c>
      <c r="B133" s="17" t="s">
        <v>332</v>
      </c>
      <c r="C133" s="16" t="s">
        <v>333</v>
      </c>
      <c r="D133" s="16" t="s">
        <v>24</v>
      </c>
      <c r="E133" s="16" t="s">
        <v>334</v>
      </c>
      <c r="F133" s="16">
        <v>20</v>
      </c>
      <c r="G133" s="16">
        <v>16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53" t="s">
        <v>50</v>
      </c>
      <c r="O133" s="31"/>
    </row>
    <row r="134" spans="1:15" ht="18" customHeight="1" x14ac:dyDescent="0.15">
      <c r="A134" s="14" t="s">
        <v>335</v>
      </c>
      <c r="B134" s="15" t="s">
        <v>336</v>
      </c>
      <c r="C134" s="14" t="s">
        <v>244</v>
      </c>
      <c r="D134" s="14" t="s">
        <v>244</v>
      </c>
      <c r="E134" s="14" t="s">
        <v>337</v>
      </c>
      <c r="F134" s="14">
        <v>1000</v>
      </c>
      <c r="G134" s="14">
        <v>1000</v>
      </c>
      <c r="H134" s="14">
        <v>908</v>
      </c>
      <c r="I134" s="14">
        <v>908</v>
      </c>
      <c r="J134" s="14">
        <v>1000</v>
      </c>
      <c r="K134" s="14">
        <v>1000</v>
      </c>
      <c r="L134" s="14">
        <v>1000</v>
      </c>
      <c r="M134" s="14">
        <v>1000</v>
      </c>
      <c r="N134" s="52" t="s">
        <v>43</v>
      </c>
      <c r="O134" s="31"/>
    </row>
    <row r="135" spans="1:15" ht="18" customHeight="1" x14ac:dyDescent="0.15">
      <c r="A135" s="14" t="s">
        <v>338</v>
      </c>
      <c r="B135" s="15" t="s">
        <v>339</v>
      </c>
      <c r="C135" s="14" t="s">
        <v>59</v>
      </c>
      <c r="D135" s="14" t="s">
        <v>24</v>
      </c>
      <c r="E135" s="14" t="s">
        <v>340</v>
      </c>
      <c r="F135" s="14">
        <v>54</v>
      </c>
      <c r="G135" s="14">
        <v>54</v>
      </c>
      <c r="H135" s="14">
        <v>0</v>
      </c>
      <c r="I135" s="14">
        <v>23.5</v>
      </c>
      <c r="J135" s="14">
        <v>27</v>
      </c>
      <c r="K135" s="14">
        <v>27</v>
      </c>
      <c r="L135" s="14">
        <v>25</v>
      </c>
      <c r="M135" s="14">
        <v>25</v>
      </c>
      <c r="N135" s="52" t="s">
        <v>73</v>
      </c>
      <c r="O135" s="31"/>
    </row>
    <row r="136" spans="1:15" ht="18" customHeight="1" x14ac:dyDescent="0.15">
      <c r="A136" s="14" t="s">
        <v>341</v>
      </c>
      <c r="B136" s="15" t="s">
        <v>342</v>
      </c>
      <c r="C136" s="14" t="s">
        <v>343</v>
      </c>
      <c r="D136" s="14" t="s">
        <v>344</v>
      </c>
      <c r="E136" s="14" t="s">
        <v>345</v>
      </c>
      <c r="F136" s="14">
        <v>230</v>
      </c>
      <c r="G136" s="14">
        <v>230</v>
      </c>
      <c r="H136" s="14">
        <v>0</v>
      </c>
      <c r="I136" s="14">
        <v>0</v>
      </c>
      <c r="J136" s="14">
        <v>230</v>
      </c>
      <c r="K136" s="14">
        <v>230</v>
      </c>
      <c r="L136" s="14">
        <v>0</v>
      </c>
      <c r="M136" s="14">
        <v>0</v>
      </c>
      <c r="N136" s="52" t="s">
        <v>43</v>
      </c>
      <c r="O136" s="31"/>
    </row>
    <row r="137" spans="1:15" ht="18" customHeight="1" x14ac:dyDescent="0.15">
      <c r="A137" s="14" t="s">
        <v>346</v>
      </c>
      <c r="B137" s="15" t="s">
        <v>347</v>
      </c>
      <c r="C137" s="14" t="s">
        <v>59</v>
      </c>
      <c r="D137" s="14" t="s">
        <v>24</v>
      </c>
      <c r="E137" s="14" t="s">
        <v>348</v>
      </c>
      <c r="F137" s="14">
        <v>109</v>
      </c>
      <c r="G137" s="14">
        <v>109</v>
      </c>
      <c r="H137" s="14">
        <v>23</v>
      </c>
      <c r="I137" s="14">
        <v>32</v>
      </c>
      <c r="J137" s="14">
        <v>50</v>
      </c>
      <c r="K137" s="14">
        <v>50</v>
      </c>
      <c r="L137" s="14">
        <v>50</v>
      </c>
      <c r="M137" s="14">
        <v>50</v>
      </c>
      <c r="N137" s="52" t="s">
        <v>233</v>
      </c>
      <c r="O137" s="31"/>
    </row>
    <row r="138" spans="1:15" ht="18" customHeight="1" x14ac:dyDescent="0.15">
      <c r="A138" s="14" t="s">
        <v>349</v>
      </c>
      <c r="B138" s="15" t="s">
        <v>350</v>
      </c>
      <c r="C138" s="14" t="s">
        <v>23</v>
      </c>
      <c r="D138" s="14" t="s">
        <v>344</v>
      </c>
      <c r="E138" s="14" t="s">
        <v>351</v>
      </c>
      <c r="F138" s="14">
        <v>410</v>
      </c>
      <c r="G138" s="14">
        <v>410</v>
      </c>
      <c r="H138" s="14">
        <v>250</v>
      </c>
      <c r="I138" s="14">
        <v>250</v>
      </c>
      <c r="J138" s="14">
        <v>410</v>
      </c>
      <c r="K138" s="14">
        <v>410</v>
      </c>
      <c r="L138" s="14">
        <v>150</v>
      </c>
      <c r="M138" s="14">
        <v>150</v>
      </c>
      <c r="N138" s="52" t="s">
        <v>30</v>
      </c>
      <c r="O138" s="31"/>
    </row>
    <row r="139" spans="1:15" ht="18" customHeight="1" x14ac:dyDescent="0.15">
      <c r="A139" s="14" t="s">
        <v>352</v>
      </c>
      <c r="B139" s="15" t="s">
        <v>353</v>
      </c>
      <c r="C139" s="14" t="s">
        <v>59</v>
      </c>
      <c r="D139" s="14" t="s">
        <v>37</v>
      </c>
      <c r="E139" s="14" t="s">
        <v>354</v>
      </c>
      <c r="F139" s="14">
        <v>105</v>
      </c>
      <c r="G139" s="14">
        <v>105</v>
      </c>
      <c r="H139" s="14">
        <v>0</v>
      </c>
      <c r="I139" s="14">
        <v>0</v>
      </c>
      <c r="J139" s="14">
        <v>105</v>
      </c>
      <c r="K139" s="14">
        <v>105</v>
      </c>
      <c r="L139" s="14">
        <v>0.1</v>
      </c>
      <c r="M139" s="14">
        <v>0.1</v>
      </c>
      <c r="N139" s="52" t="s">
        <v>73</v>
      </c>
      <c r="O139" s="31"/>
    </row>
    <row r="140" spans="1:15" ht="18" customHeight="1" x14ac:dyDescent="0.15">
      <c r="A140" s="14" t="s">
        <v>355</v>
      </c>
      <c r="B140" s="15" t="s">
        <v>356</v>
      </c>
      <c r="C140" s="14" t="s">
        <v>59</v>
      </c>
      <c r="D140" s="14" t="s">
        <v>344</v>
      </c>
      <c r="E140" s="14" t="s">
        <v>357</v>
      </c>
      <c r="F140" s="14">
        <v>105</v>
      </c>
      <c r="G140" s="14">
        <v>105</v>
      </c>
      <c r="H140" s="14">
        <v>0</v>
      </c>
      <c r="I140" s="14">
        <v>0</v>
      </c>
      <c r="J140" s="14">
        <v>105</v>
      </c>
      <c r="K140" s="14">
        <v>105</v>
      </c>
      <c r="L140" s="14">
        <v>15</v>
      </c>
      <c r="M140" s="14">
        <v>15</v>
      </c>
      <c r="N140" s="52" t="s">
        <v>73</v>
      </c>
      <c r="O140" s="31"/>
    </row>
    <row r="141" spans="1:15" ht="18" customHeight="1" x14ac:dyDescent="0.15">
      <c r="A141" s="14" t="s">
        <v>358</v>
      </c>
      <c r="B141" s="15" t="s">
        <v>359</v>
      </c>
      <c r="C141" s="14" t="s">
        <v>115</v>
      </c>
      <c r="D141" s="14" t="s">
        <v>37</v>
      </c>
      <c r="E141" s="14" t="s">
        <v>331</v>
      </c>
      <c r="F141" s="14">
        <v>100</v>
      </c>
      <c r="G141" s="14">
        <v>100</v>
      </c>
      <c r="H141" s="14">
        <v>64.290000000000006</v>
      </c>
      <c r="I141" s="14">
        <v>0</v>
      </c>
      <c r="J141" s="14">
        <v>85</v>
      </c>
      <c r="K141" s="14">
        <v>0</v>
      </c>
      <c r="L141" s="14">
        <v>85</v>
      </c>
      <c r="M141" s="14">
        <v>0</v>
      </c>
      <c r="N141" s="52" t="s">
        <v>43</v>
      </c>
      <c r="O141" s="31"/>
    </row>
    <row r="142" spans="1:15" ht="18" customHeight="1" x14ac:dyDescent="0.15">
      <c r="A142" s="14" t="s">
        <v>360</v>
      </c>
      <c r="B142" s="15" t="s">
        <v>361</v>
      </c>
      <c r="C142" s="14" t="s">
        <v>343</v>
      </c>
      <c r="D142" s="14" t="s">
        <v>24</v>
      </c>
      <c r="E142" s="14" t="s">
        <v>362</v>
      </c>
      <c r="F142" s="14">
        <v>336</v>
      </c>
      <c r="G142" s="14">
        <v>336</v>
      </c>
      <c r="H142" s="14">
        <v>0</v>
      </c>
      <c r="I142" s="14">
        <v>0</v>
      </c>
      <c r="J142" s="14">
        <v>336</v>
      </c>
      <c r="K142" s="14">
        <v>336</v>
      </c>
      <c r="L142" s="14">
        <v>0</v>
      </c>
      <c r="M142" s="14">
        <v>0</v>
      </c>
      <c r="N142" s="52" t="s">
        <v>43</v>
      </c>
      <c r="O142" s="31"/>
    </row>
    <row r="143" spans="1:15" ht="18" customHeight="1" x14ac:dyDescent="0.15">
      <c r="A143" s="14" t="s">
        <v>363</v>
      </c>
      <c r="B143" s="15" t="s">
        <v>364</v>
      </c>
      <c r="C143" s="14" t="s">
        <v>191</v>
      </c>
      <c r="D143" s="14" t="s">
        <v>24</v>
      </c>
      <c r="E143" s="14" t="s">
        <v>365</v>
      </c>
      <c r="F143" s="14">
        <v>1234</v>
      </c>
      <c r="G143" s="14">
        <v>1234.2</v>
      </c>
      <c r="H143" s="14">
        <v>606</v>
      </c>
      <c r="I143" s="14">
        <v>604</v>
      </c>
      <c r="J143" s="14">
        <v>617.1</v>
      </c>
      <c r="K143" s="14">
        <v>617.1</v>
      </c>
      <c r="L143" s="14">
        <v>597</v>
      </c>
      <c r="M143" s="14">
        <v>1200</v>
      </c>
      <c r="N143" s="52"/>
      <c r="O143" s="31"/>
    </row>
    <row r="144" spans="1:15" ht="18" customHeight="1" x14ac:dyDescent="0.15">
      <c r="A144" s="14" t="s">
        <v>335</v>
      </c>
      <c r="B144" s="15" t="s">
        <v>366</v>
      </c>
      <c r="C144" s="14" t="s">
        <v>244</v>
      </c>
      <c r="D144" s="14" t="s">
        <v>244</v>
      </c>
      <c r="E144" s="14" t="s">
        <v>367</v>
      </c>
      <c r="F144" s="14">
        <v>0</v>
      </c>
      <c r="G144" s="14">
        <v>40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52" t="s">
        <v>43</v>
      </c>
      <c r="O144" s="31"/>
    </row>
    <row r="145" spans="1:15" ht="18" customHeight="1" x14ac:dyDescent="0.15">
      <c r="A145" s="39" t="s">
        <v>368</v>
      </c>
      <c r="B145" s="54"/>
      <c r="C145" s="54"/>
      <c r="D145" s="54"/>
      <c r="E145" s="31"/>
      <c r="F145" s="11">
        <v>3703</v>
      </c>
      <c r="G145" s="11">
        <v>3739.2</v>
      </c>
      <c r="H145" s="11">
        <v>1851.29</v>
      </c>
      <c r="I145" s="11">
        <v>1817.5</v>
      </c>
      <c r="J145" s="11">
        <v>2965.1</v>
      </c>
      <c r="K145" s="11">
        <v>2880.1</v>
      </c>
      <c r="L145" s="11">
        <v>1922.1</v>
      </c>
      <c r="M145" s="11">
        <v>2440.1</v>
      </c>
      <c r="N145" s="39"/>
      <c r="O145" s="31"/>
    </row>
    <row r="146" spans="1:15" ht="18" customHeight="1" x14ac:dyDescent="0.15">
      <c r="A146" s="14"/>
      <c r="B146" s="15" t="s">
        <v>369</v>
      </c>
      <c r="C146" s="14" t="s">
        <v>191</v>
      </c>
      <c r="D146" s="14" t="s">
        <v>370</v>
      </c>
      <c r="E146" s="14" t="s">
        <v>365</v>
      </c>
      <c r="F146" s="14">
        <v>1320</v>
      </c>
      <c r="G146" s="14">
        <v>1244</v>
      </c>
      <c r="H146" s="14">
        <v>255</v>
      </c>
      <c r="I146" s="14">
        <v>304</v>
      </c>
      <c r="J146" s="14">
        <v>250</v>
      </c>
      <c r="K146" s="14">
        <v>300</v>
      </c>
      <c r="L146" s="14">
        <v>250</v>
      </c>
      <c r="M146" s="14">
        <v>300</v>
      </c>
      <c r="N146" s="52" t="s">
        <v>371</v>
      </c>
      <c r="O146" s="31"/>
    </row>
    <row r="147" spans="1:15" ht="18" customHeight="1" x14ac:dyDescent="0.15">
      <c r="A147" s="14" t="s">
        <v>372</v>
      </c>
      <c r="B147" s="15" t="s">
        <v>373</v>
      </c>
      <c r="C147" s="14" t="s">
        <v>59</v>
      </c>
      <c r="D147" s="14" t="s">
        <v>37</v>
      </c>
      <c r="E147" s="14" t="s">
        <v>374</v>
      </c>
      <c r="F147" s="14">
        <v>110</v>
      </c>
      <c r="G147" s="14">
        <v>110</v>
      </c>
      <c r="H147" s="14">
        <v>107</v>
      </c>
      <c r="I147" s="14">
        <v>101</v>
      </c>
      <c r="J147" s="14">
        <v>110</v>
      </c>
      <c r="K147" s="14">
        <v>110</v>
      </c>
      <c r="L147" s="14">
        <v>99</v>
      </c>
      <c r="M147" s="14">
        <v>99</v>
      </c>
      <c r="N147" s="52" t="s">
        <v>184</v>
      </c>
      <c r="O147" s="31"/>
    </row>
    <row r="148" spans="1:15" ht="18" customHeight="1" x14ac:dyDescent="0.15">
      <c r="A148" s="16" t="s">
        <v>375</v>
      </c>
      <c r="B148" s="17" t="s">
        <v>376</v>
      </c>
      <c r="C148" s="16" t="s">
        <v>23</v>
      </c>
      <c r="D148" s="16" t="s">
        <v>377</v>
      </c>
      <c r="E148" s="16" t="s">
        <v>378</v>
      </c>
      <c r="F148" s="16">
        <v>40</v>
      </c>
      <c r="G148" s="16">
        <v>11.04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53" t="s">
        <v>50</v>
      </c>
      <c r="O148" s="31"/>
    </row>
    <row r="149" spans="1:15" ht="18" customHeight="1" x14ac:dyDescent="0.15">
      <c r="A149" s="14" t="s">
        <v>379</v>
      </c>
      <c r="B149" s="15" t="s">
        <v>380</v>
      </c>
      <c r="C149" s="14" t="s">
        <v>23</v>
      </c>
      <c r="D149" s="14" t="s">
        <v>24</v>
      </c>
      <c r="E149" s="14" t="s">
        <v>381</v>
      </c>
      <c r="F149" s="14">
        <v>194</v>
      </c>
      <c r="G149" s="14">
        <v>194</v>
      </c>
      <c r="H149" s="14">
        <v>125</v>
      </c>
      <c r="I149" s="14">
        <v>125</v>
      </c>
      <c r="J149" s="14">
        <v>130</v>
      </c>
      <c r="K149" s="14">
        <v>130</v>
      </c>
      <c r="L149" s="14">
        <v>130</v>
      </c>
      <c r="M149" s="14">
        <v>130</v>
      </c>
      <c r="N149" s="52" t="s">
        <v>314</v>
      </c>
      <c r="O149" s="31"/>
    </row>
    <row r="150" spans="1:15" ht="18" customHeight="1" x14ac:dyDescent="0.15">
      <c r="A150" s="14" t="s">
        <v>382</v>
      </c>
      <c r="B150" s="15" t="s">
        <v>383</v>
      </c>
      <c r="C150" s="14" t="s">
        <v>191</v>
      </c>
      <c r="D150" s="14" t="s">
        <v>384</v>
      </c>
      <c r="E150" s="14" t="s">
        <v>385</v>
      </c>
      <c r="F150" s="14">
        <v>1244</v>
      </c>
      <c r="G150" s="14">
        <v>1244</v>
      </c>
      <c r="H150" s="14">
        <v>1195</v>
      </c>
      <c r="I150" s="14">
        <v>1225</v>
      </c>
      <c r="J150" s="14">
        <v>1244</v>
      </c>
      <c r="K150" s="14">
        <v>1244</v>
      </c>
      <c r="L150" s="14">
        <v>1200</v>
      </c>
      <c r="M150" s="14">
        <v>1200</v>
      </c>
      <c r="N150" s="52" t="s">
        <v>229</v>
      </c>
      <c r="O150" s="31"/>
    </row>
    <row r="151" spans="1:15" ht="18" customHeight="1" x14ac:dyDescent="0.15">
      <c r="A151" s="14" t="s">
        <v>386</v>
      </c>
      <c r="B151" s="15" t="s">
        <v>387</v>
      </c>
      <c r="C151" s="14" t="s">
        <v>123</v>
      </c>
      <c r="D151" s="14" t="s">
        <v>37</v>
      </c>
      <c r="E151" s="14" t="s">
        <v>388</v>
      </c>
      <c r="F151" s="14">
        <v>220</v>
      </c>
      <c r="G151" s="14">
        <v>220</v>
      </c>
      <c r="H151" s="14">
        <v>220</v>
      </c>
      <c r="I151" s="14">
        <v>180</v>
      </c>
      <c r="J151" s="14">
        <v>220</v>
      </c>
      <c r="K151" s="14">
        <v>220</v>
      </c>
      <c r="L151" s="14">
        <v>220</v>
      </c>
      <c r="M151" s="14">
        <v>220</v>
      </c>
      <c r="N151" s="52" t="s">
        <v>389</v>
      </c>
      <c r="O151" s="31"/>
    </row>
    <row r="152" spans="1:15" ht="18" customHeight="1" x14ac:dyDescent="0.15">
      <c r="A152" s="14" t="s">
        <v>390</v>
      </c>
      <c r="B152" s="15" t="s">
        <v>391</v>
      </c>
      <c r="C152" s="14" t="s">
        <v>59</v>
      </c>
      <c r="D152" s="14" t="s">
        <v>37</v>
      </c>
      <c r="E152" s="14" t="s">
        <v>392</v>
      </c>
      <c r="F152" s="14">
        <v>150</v>
      </c>
      <c r="G152" s="14">
        <v>150</v>
      </c>
      <c r="H152" s="14">
        <v>17</v>
      </c>
      <c r="I152" s="14">
        <v>17</v>
      </c>
      <c r="J152" s="14">
        <v>150</v>
      </c>
      <c r="K152" s="14">
        <v>150</v>
      </c>
      <c r="L152" s="14">
        <v>17</v>
      </c>
      <c r="M152" s="14">
        <v>17</v>
      </c>
      <c r="N152" s="52" t="s">
        <v>73</v>
      </c>
      <c r="O152" s="31"/>
    </row>
    <row r="153" spans="1:15" ht="18" customHeight="1" x14ac:dyDescent="0.15">
      <c r="A153" s="14" t="s">
        <v>393</v>
      </c>
      <c r="B153" s="15" t="s">
        <v>394</v>
      </c>
      <c r="C153" s="14" t="s">
        <v>191</v>
      </c>
      <c r="D153" s="14" t="s">
        <v>384</v>
      </c>
      <c r="E153" s="14" t="s">
        <v>395</v>
      </c>
      <c r="F153" s="14">
        <v>307</v>
      </c>
      <c r="G153" s="14">
        <v>307</v>
      </c>
      <c r="H153" s="14">
        <v>307</v>
      </c>
      <c r="I153" s="14">
        <v>307</v>
      </c>
      <c r="J153" s="14">
        <v>307</v>
      </c>
      <c r="K153" s="14">
        <v>307</v>
      </c>
      <c r="L153" s="14">
        <v>307</v>
      </c>
      <c r="M153" s="14">
        <v>307</v>
      </c>
      <c r="N153" s="52" t="s">
        <v>43</v>
      </c>
      <c r="O153" s="31"/>
    </row>
    <row r="154" spans="1:15" ht="18" customHeight="1" x14ac:dyDescent="0.15">
      <c r="A154" s="14" t="s">
        <v>396</v>
      </c>
      <c r="B154" s="15" t="s">
        <v>397</v>
      </c>
      <c r="C154" s="14" t="s">
        <v>115</v>
      </c>
      <c r="D154" s="14" t="s">
        <v>37</v>
      </c>
      <c r="E154" s="14"/>
      <c r="F154" s="14">
        <v>1</v>
      </c>
      <c r="G154" s="14">
        <v>1</v>
      </c>
      <c r="H154" s="14">
        <v>0.75</v>
      </c>
      <c r="I154" s="14">
        <v>0</v>
      </c>
      <c r="J154" s="14">
        <v>1</v>
      </c>
      <c r="K154" s="14">
        <v>0</v>
      </c>
      <c r="L154" s="14">
        <v>1</v>
      </c>
      <c r="M154" s="14">
        <v>0</v>
      </c>
      <c r="N154" s="52" t="s">
        <v>43</v>
      </c>
      <c r="O154" s="31"/>
    </row>
    <row r="155" spans="1:15" ht="18" customHeight="1" x14ac:dyDescent="0.15">
      <c r="A155" s="39" t="s">
        <v>398</v>
      </c>
      <c r="B155" s="54"/>
      <c r="C155" s="54"/>
      <c r="D155" s="54"/>
      <c r="E155" s="31"/>
      <c r="F155" s="11">
        <v>3586</v>
      </c>
      <c r="G155" s="11">
        <v>3481.04</v>
      </c>
      <c r="H155" s="11">
        <v>2226.75</v>
      </c>
      <c r="I155" s="11">
        <v>2259</v>
      </c>
      <c r="J155" s="11">
        <v>2412</v>
      </c>
      <c r="K155" s="11">
        <v>2461</v>
      </c>
      <c r="L155" s="11">
        <v>2224</v>
      </c>
      <c r="M155" s="11">
        <v>2273</v>
      </c>
      <c r="N155" s="39"/>
      <c r="O155" s="31"/>
    </row>
    <row r="156" spans="1:15" ht="18" customHeight="1" x14ac:dyDescent="0.15">
      <c r="A156" s="16"/>
      <c r="B156" s="17" t="s">
        <v>399</v>
      </c>
      <c r="C156" s="16" t="s">
        <v>115</v>
      </c>
      <c r="D156" s="16" t="s">
        <v>24</v>
      </c>
      <c r="E156" s="16" t="s">
        <v>400</v>
      </c>
      <c r="F156" s="16">
        <v>64</v>
      </c>
      <c r="G156" s="16">
        <v>64.55</v>
      </c>
      <c r="H156" s="16">
        <v>58.07</v>
      </c>
      <c r="I156" s="16">
        <v>0</v>
      </c>
      <c r="J156" s="16">
        <v>62</v>
      </c>
      <c r="K156" s="16">
        <v>0</v>
      </c>
      <c r="L156" s="16">
        <v>62</v>
      </c>
      <c r="M156" s="16">
        <v>0</v>
      </c>
      <c r="N156" s="53" t="s">
        <v>50</v>
      </c>
      <c r="O156" s="31"/>
    </row>
    <row r="157" spans="1:15" ht="18" customHeight="1" x14ac:dyDescent="0.15">
      <c r="A157" s="14" t="s">
        <v>401</v>
      </c>
      <c r="B157" s="15" t="s">
        <v>402</v>
      </c>
      <c r="C157" s="14" t="s">
        <v>23</v>
      </c>
      <c r="D157" s="14" t="s">
        <v>24</v>
      </c>
      <c r="E157" s="14" t="s">
        <v>403</v>
      </c>
      <c r="F157" s="14">
        <v>71</v>
      </c>
      <c r="G157" s="14">
        <v>70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52" t="s">
        <v>30</v>
      </c>
      <c r="O157" s="31"/>
    </row>
    <row r="158" spans="1:15" ht="18" customHeight="1" x14ac:dyDescent="0.15">
      <c r="A158" s="14"/>
      <c r="B158" s="15" t="s">
        <v>404</v>
      </c>
      <c r="C158" s="14" t="s">
        <v>23</v>
      </c>
      <c r="D158" s="14" t="s">
        <v>24</v>
      </c>
      <c r="E158" s="14" t="s">
        <v>309</v>
      </c>
      <c r="F158" s="14">
        <v>100</v>
      </c>
      <c r="G158" s="14">
        <v>100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52" t="s">
        <v>405</v>
      </c>
      <c r="O158" s="31"/>
    </row>
    <row r="159" spans="1:15" ht="18" customHeight="1" x14ac:dyDescent="0.15">
      <c r="A159" s="14" t="s">
        <v>406</v>
      </c>
      <c r="B159" s="15" t="s">
        <v>407</v>
      </c>
      <c r="C159" s="14" t="s">
        <v>59</v>
      </c>
      <c r="D159" s="14" t="s">
        <v>24</v>
      </c>
      <c r="E159" s="14" t="s">
        <v>93</v>
      </c>
      <c r="F159" s="14">
        <v>52</v>
      </c>
      <c r="G159" s="14">
        <v>52</v>
      </c>
      <c r="H159" s="14">
        <v>47</v>
      </c>
      <c r="I159" s="14">
        <v>43</v>
      </c>
      <c r="J159" s="14">
        <v>47</v>
      </c>
      <c r="K159" s="14">
        <v>47</v>
      </c>
      <c r="L159" s="14">
        <v>47</v>
      </c>
      <c r="M159" s="14">
        <v>47</v>
      </c>
      <c r="N159" s="52" t="s">
        <v>43</v>
      </c>
      <c r="O159" s="31"/>
    </row>
    <row r="160" spans="1:15" ht="18" customHeight="1" x14ac:dyDescent="0.15">
      <c r="A160" s="14" t="s">
        <v>408</v>
      </c>
      <c r="B160" s="15" t="s">
        <v>409</v>
      </c>
      <c r="C160" s="14" t="s">
        <v>59</v>
      </c>
      <c r="D160" s="14" t="s">
        <v>24</v>
      </c>
      <c r="E160" s="14" t="s">
        <v>410</v>
      </c>
      <c r="F160" s="14">
        <v>71</v>
      </c>
      <c r="G160" s="14">
        <v>71</v>
      </c>
      <c r="H160" s="14">
        <v>0</v>
      </c>
      <c r="I160" s="14">
        <v>0</v>
      </c>
      <c r="J160" s="14">
        <v>32</v>
      </c>
      <c r="K160" s="14">
        <v>32</v>
      </c>
      <c r="L160" s="14">
        <v>0</v>
      </c>
      <c r="M160" s="14">
        <v>0</v>
      </c>
      <c r="N160" s="52" t="s">
        <v>210</v>
      </c>
      <c r="O160" s="31"/>
    </row>
    <row r="161" spans="1:15" ht="18" customHeight="1" x14ac:dyDescent="0.15">
      <c r="A161" s="14" t="s">
        <v>411</v>
      </c>
      <c r="B161" s="15" t="s">
        <v>412</v>
      </c>
      <c r="C161" s="14" t="s">
        <v>59</v>
      </c>
      <c r="D161" s="14" t="s">
        <v>24</v>
      </c>
      <c r="E161" s="14" t="s">
        <v>413</v>
      </c>
      <c r="F161" s="14">
        <v>50</v>
      </c>
      <c r="G161" s="14">
        <v>50</v>
      </c>
      <c r="H161" s="14">
        <v>0</v>
      </c>
      <c r="I161" s="14">
        <v>23</v>
      </c>
      <c r="J161" s="14">
        <v>32</v>
      </c>
      <c r="K161" s="14">
        <v>32</v>
      </c>
      <c r="L161" s="14">
        <v>32</v>
      </c>
      <c r="M161" s="14">
        <v>32</v>
      </c>
      <c r="N161" s="52" t="s">
        <v>414</v>
      </c>
      <c r="O161" s="31"/>
    </row>
    <row r="162" spans="1:15" ht="18" customHeight="1" x14ac:dyDescent="0.15">
      <c r="A162" s="14" t="s">
        <v>415</v>
      </c>
      <c r="B162" s="15" t="s">
        <v>416</v>
      </c>
      <c r="C162" s="14" t="s">
        <v>123</v>
      </c>
      <c r="D162" s="14" t="s">
        <v>344</v>
      </c>
      <c r="E162" s="14" t="s">
        <v>147</v>
      </c>
      <c r="F162" s="14">
        <v>210</v>
      </c>
      <c r="G162" s="14">
        <v>214</v>
      </c>
      <c r="H162" s="14">
        <v>158</v>
      </c>
      <c r="I162" s="14">
        <v>195</v>
      </c>
      <c r="J162" s="14">
        <v>214</v>
      </c>
      <c r="K162" s="14">
        <v>214</v>
      </c>
      <c r="L162" s="14">
        <v>200</v>
      </c>
      <c r="M162" s="14">
        <v>200</v>
      </c>
      <c r="N162" s="52" t="s">
        <v>30</v>
      </c>
      <c r="O162" s="31"/>
    </row>
    <row r="163" spans="1:15" ht="18" customHeight="1" x14ac:dyDescent="0.15">
      <c r="A163" s="14" t="s">
        <v>417</v>
      </c>
      <c r="B163" s="15" t="s">
        <v>418</v>
      </c>
      <c r="C163" s="14" t="s">
        <v>123</v>
      </c>
      <c r="D163" s="14" t="s">
        <v>344</v>
      </c>
      <c r="E163" s="14" t="s">
        <v>147</v>
      </c>
      <c r="F163" s="14">
        <v>220</v>
      </c>
      <c r="G163" s="14">
        <v>220</v>
      </c>
      <c r="H163" s="14">
        <v>0</v>
      </c>
      <c r="I163" s="14">
        <v>0</v>
      </c>
      <c r="J163" s="14">
        <v>220</v>
      </c>
      <c r="K163" s="14">
        <v>220</v>
      </c>
      <c r="L163" s="14">
        <v>0</v>
      </c>
      <c r="M163" s="14">
        <v>0</v>
      </c>
      <c r="N163" s="52" t="s">
        <v>30</v>
      </c>
      <c r="O163" s="31"/>
    </row>
    <row r="164" spans="1:15" ht="18" customHeight="1" x14ac:dyDescent="0.15">
      <c r="A164" s="14" t="s">
        <v>419</v>
      </c>
      <c r="B164" s="15" t="s">
        <v>420</v>
      </c>
      <c r="C164" s="14" t="s">
        <v>123</v>
      </c>
      <c r="D164" s="14" t="s">
        <v>344</v>
      </c>
      <c r="E164" s="14" t="s">
        <v>421</v>
      </c>
      <c r="F164" s="14">
        <v>220</v>
      </c>
      <c r="G164" s="14">
        <v>220</v>
      </c>
      <c r="H164" s="14">
        <v>169</v>
      </c>
      <c r="I164" s="14">
        <v>172</v>
      </c>
      <c r="J164" s="14">
        <v>220</v>
      </c>
      <c r="K164" s="14">
        <v>220</v>
      </c>
      <c r="L164" s="14">
        <v>175</v>
      </c>
      <c r="M164" s="14">
        <v>175</v>
      </c>
      <c r="N164" s="52" t="s">
        <v>30</v>
      </c>
      <c r="O164" s="31"/>
    </row>
    <row r="165" spans="1:15" ht="18" customHeight="1" x14ac:dyDescent="0.15">
      <c r="A165" s="14" t="s">
        <v>422</v>
      </c>
      <c r="B165" s="15" t="s">
        <v>423</v>
      </c>
      <c r="C165" s="14" t="s">
        <v>123</v>
      </c>
      <c r="D165" s="14" t="s">
        <v>344</v>
      </c>
      <c r="E165" s="14" t="s">
        <v>424</v>
      </c>
      <c r="F165" s="14">
        <v>414</v>
      </c>
      <c r="G165" s="14">
        <v>413.79199999999997</v>
      </c>
      <c r="H165" s="14">
        <v>404</v>
      </c>
      <c r="I165" s="14">
        <v>359</v>
      </c>
      <c r="J165" s="14">
        <v>413.79</v>
      </c>
      <c r="K165" s="14">
        <v>413.79</v>
      </c>
      <c r="L165" s="14">
        <v>372.41</v>
      </c>
      <c r="M165" s="14">
        <v>372.41</v>
      </c>
      <c r="N165" s="52" t="s">
        <v>184</v>
      </c>
      <c r="O165" s="31"/>
    </row>
    <row r="166" spans="1:15" ht="18" customHeight="1" x14ac:dyDescent="0.15">
      <c r="A166" s="14" t="s">
        <v>425</v>
      </c>
      <c r="B166" s="15" t="s">
        <v>426</v>
      </c>
      <c r="C166" s="14" t="s">
        <v>59</v>
      </c>
      <c r="D166" s="14" t="s">
        <v>24</v>
      </c>
      <c r="E166" s="14" t="s">
        <v>413</v>
      </c>
      <c r="F166" s="14">
        <v>50</v>
      </c>
      <c r="G166" s="14">
        <v>50</v>
      </c>
      <c r="H166" s="14">
        <v>0</v>
      </c>
      <c r="I166" s="14">
        <v>25</v>
      </c>
      <c r="J166" s="14">
        <v>30</v>
      </c>
      <c r="K166" s="14">
        <v>30</v>
      </c>
      <c r="L166" s="14">
        <v>0</v>
      </c>
      <c r="M166" s="14">
        <v>0</v>
      </c>
      <c r="N166" s="52" t="s">
        <v>73</v>
      </c>
      <c r="O166" s="31"/>
    </row>
    <row r="167" spans="1:15" ht="18" customHeight="1" x14ac:dyDescent="0.15">
      <c r="A167" s="14" t="s">
        <v>427</v>
      </c>
      <c r="B167" s="15" t="s">
        <v>428</v>
      </c>
      <c r="C167" s="14" t="s">
        <v>59</v>
      </c>
      <c r="D167" s="14" t="s">
        <v>37</v>
      </c>
      <c r="E167" s="14" t="s">
        <v>236</v>
      </c>
      <c r="F167" s="14">
        <v>52</v>
      </c>
      <c r="G167" s="14">
        <v>52.2</v>
      </c>
      <c r="H167" s="14">
        <v>0</v>
      </c>
      <c r="I167" s="14">
        <v>0</v>
      </c>
      <c r="J167" s="14">
        <v>52.2</v>
      </c>
      <c r="K167" s="14">
        <v>52.2</v>
      </c>
      <c r="L167" s="14">
        <v>0</v>
      </c>
      <c r="M167" s="14">
        <v>0</v>
      </c>
      <c r="N167" s="52" t="s">
        <v>73</v>
      </c>
      <c r="O167" s="31"/>
    </row>
    <row r="168" spans="1:15" ht="18" customHeight="1" x14ac:dyDescent="0.15">
      <c r="A168" s="14" t="s">
        <v>429</v>
      </c>
      <c r="B168" s="15" t="s">
        <v>430</v>
      </c>
      <c r="C168" s="14" t="s">
        <v>59</v>
      </c>
      <c r="D168" s="14" t="s">
        <v>24</v>
      </c>
      <c r="E168" s="14" t="s">
        <v>72</v>
      </c>
      <c r="F168" s="14">
        <v>104</v>
      </c>
      <c r="G168" s="14">
        <v>104</v>
      </c>
      <c r="H168" s="14">
        <v>0</v>
      </c>
      <c r="I168" s="14">
        <v>48</v>
      </c>
      <c r="J168" s="14">
        <v>92</v>
      </c>
      <c r="K168" s="14">
        <v>92</v>
      </c>
      <c r="L168" s="14">
        <v>0</v>
      </c>
      <c r="M168" s="14">
        <v>51</v>
      </c>
      <c r="N168" s="52" t="s">
        <v>73</v>
      </c>
      <c r="O168" s="31"/>
    </row>
    <row r="169" spans="1:15" ht="18" customHeight="1" x14ac:dyDescent="0.15">
      <c r="A169" s="14" t="s">
        <v>431</v>
      </c>
      <c r="B169" s="15" t="s">
        <v>432</v>
      </c>
      <c r="C169" s="14" t="s">
        <v>59</v>
      </c>
      <c r="D169" s="14" t="s">
        <v>37</v>
      </c>
      <c r="E169" s="14" t="s">
        <v>433</v>
      </c>
      <c r="F169" s="14">
        <v>113</v>
      </c>
      <c r="G169" s="14">
        <v>113</v>
      </c>
      <c r="H169" s="14">
        <v>1</v>
      </c>
      <c r="I169" s="14">
        <v>50</v>
      </c>
      <c r="J169" s="14">
        <v>113</v>
      </c>
      <c r="K169" s="14">
        <v>113</v>
      </c>
      <c r="L169" s="14">
        <v>0</v>
      </c>
      <c r="M169" s="14">
        <v>50</v>
      </c>
      <c r="N169" s="52" t="s">
        <v>73</v>
      </c>
      <c r="O169" s="31"/>
    </row>
    <row r="170" spans="1:15" ht="18" customHeight="1" x14ac:dyDescent="0.15">
      <c r="A170" s="14" t="s">
        <v>434</v>
      </c>
      <c r="B170" s="15" t="s">
        <v>435</v>
      </c>
      <c r="C170" s="14" t="s">
        <v>59</v>
      </c>
      <c r="D170" s="14" t="s">
        <v>37</v>
      </c>
      <c r="E170" s="14" t="s">
        <v>436</v>
      </c>
      <c r="F170" s="14">
        <v>113</v>
      </c>
      <c r="G170" s="14">
        <v>113</v>
      </c>
      <c r="H170" s="14">
        <v>0</v>
      </c>
      <c r="I170" s="14">
        <v>35</v>
      </c>
      <c r="J170" s="14">
        <v>113</v>
      </c>
      <c r="K170" s="14">
        <v>113</v>
      </c>
      <c r="L170" s="14">
        <v>0</v>
      </c>
      <c r="M170" s="14">
        <v>35</v>
      </c>
      <c r="N170" s="52" t="s">
        <v>73</v>
      </c>
      <c r="O170" s="31"/>
    </row>
    <row r="171" spans="1:15" ht="18" customHeight="1" x14ac:dyDescent="0.15">
      <c r="A171" s="14" t="s">
        <v>437</v>
      </c>
      <c r="B171" s="15" t="s">
        <v>438</v>
      </c>
      <c r="C171" s="14" t="s">
        <v>115</v>
      </c>
      <c r="D171" s="14" t="s">
        <v>344</v>
      </c>
      <c r="E171" s="14"/>
      <c r="F171" s="14">
        <v>6</v>
      </c>
      <c r="G171" s="14">
        <v>6.09</v>
      </c>
      <c r="H171" s="14">
        <v>2.67</v>
      </c>
      <c r="I171" s="14">
        <v>0</v>
      </c>
      <c r="J171" s="14">
        <v>5.5</v>
      </c>
      <c r="K171" s="14">
        <v>0</v>
      </c>
      <c r="L171" s="14">
        <v>5.5</v>
      </c>
      <c r="M171" s="14">
        <v>0</v>
      </c>
      <c r="N171" s="52" t="s">
        <v>43</v>
      </c>
      <c r="O171" s="31"/>
    </row>
    <row r="172" spans="1:15" ht="18" customHeight="1" x14ac:dyDescent="0.15">
      <c r="A172" s="14" t="s">
        <v>335</v>
      </c>
      <c r="B172" s="15" t="s">
        <v>439</v>
      </c>
      <c r="C172" s="14" t="s">
        <v>244</v>
      </c>
      <c r="D172" s="14" t="s">
        <v>244</v>
      </c>
      <c r="E172" s="14" t="s">
        <v>440</v>
      </c>
      <c r="F172" s="14">
        <v>1496</v>
      </c>
      <c r="G172" s="14">
        <v>1435.88</v>
      </c>
      <c r="H172" s="14">
        <v>1494.01</v>
      </c>
      <c r="I172" s="14">
        <v>1481.14</v>
      </c>
      <c r="J172" s="14">
        <v>1435.88</v>
      </c>
      <c r="K172" s="14">
        <v>1435.88</v>
      </c>
      <c r="L172" s="14">
        <v>1362</v>
      </c>
      <c r="M172" s="14">
        <v>1362</v>
      </c>
      <c r="N172" s="52" t="s">
        <v>184</v>
      </c>
      <c r="O172" s="31"/>
    </row>
    <row r="173" spans="1:15" ht="18" customHeight="1" x14ac:dyDescent="0.15">
      <c r="A173" s="14" t="s">
        <v>441</v>
      </c>
      <c r="B173" s="15" t="s">
        <v>442</v>
      </c>
      <c r="C173" s="14" t="s">
        <v>115</v>
      </c>
      <c r="D173" s="14" t="s">
        <v>37</v>
      </c>
      <c r="E173" s="14"/>
      <c r="F173" s="14">
        <v>68</v>
      </c>
      <c r="G173" s="14">
        <v>68</v>
      </c>
      <c r="H173" s="14">
        <v>60.72</v>
      </c>
      <c r="I173" s="14">
        <v>0</v>
      </c>
      <c r="J173" s="14">
        <v>61</v>
      </c>
      <c r="K173" s="14">
        <v>0</v>
      </c>
      <c r="L173" s="14">
        <v>61</v>
      </c>
      <c r="M173" s="14">
        <v>0</v>
      </c>
      <c r="N173" s="52" t="s">
        <v>43</v>
      </c>
      <c r="O173" s="31"/>
    </row>
    <row r="174" spans="1:15" ht="18" customHeight="1" x14ac:dyDescent="0.15">
      <c r="A174" s="14"/>
      <c r="B174" s="15" t="s">
        <v>443</v>
      </c>
      <c r="C174" s="14" t="s">
        <v>115</v>
      </c>
      <c r="D174" s="14" t="s">
        <v>37</v>
      </c>
      <c r="E174" s="14"/>
      <c r="F174" s="14">
        <v>0</v>
      </c>
      <c r="G174" s="14">
        <v>100</v>
      </c>
      <c r="H174" s="14">
        <v>107</v>
      </c>
      <c r="I174" s="14">
        <v>0</v>
      </c>
      <c r="J174" s="14">
        <v>100</v>
      </c>
      <c r="K174" s="14">
        <v>0</v>
      </c>
      <c r="L174" s="14">
        <v>100</v>
      </c>
      <c r="M174" s="14">
        <v>0</v>
      </c>
      <c r="N174" s="52" t="s">
        <v>43</v>
      </c>
      <c r="O174" s="31"/>
    </row>
    <row r="175" spans="1:15" ht="18" customHeight="1" x14ac:dyDescent="0.15">
      <c r="A175" s="16"/>
      <c r="B175" s="17" t="s">
        <v>444</v>
      </c>
      <c r="C175" s="16" t="s">
        <v>196</v>
      </c>
      <c r="D175" s="16" t="s">
        <v>24</v>
      </c>
      <c r="E175" s="16" t="s">
        <v>445</v>
      </c>
      <c r="F175" s="16">
        <v>2</v>
      </c>
      <c r="G175" s="16">
        <v>2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53" t="s">
        <v>50</v>
      </c>
      <c r="O175" s="31"/>
    </row>
    <row r="176" spans="1:15" ht="18" customHeight="1" x14ac:dyDescent="0.15">
      <c r="A176" s="39" t="s">
        <v>446</v>
      </c>
      <c r="B176" s="54"/>
      <c r="C176" s="54"/>
      <c r="D176" s="54"/>
      <c r="E176" s="31"/>
      <c r="F176" s="11">
        <v>3476</v>
      </c>
      <c r="G176" s="11">
        <v>3519.5120000000002</v>
      </c>
      <c r="H176" s="11">
        <v>2501.4699999999998</v>
      </c>
      <c r="I176" s="11">
        <v>2431.14</v>
      </c>
      <c r="J176" s="11">
        <v>3243.37</v>
      </c>
      <c r="K176" s="11">
        <v>3014.87</v>
      </c>
      <c r="L176" s="11">
        <v>2416.91</v>
      </c>
      <c r="M176" s="11">
        <v>2324.41</v>
      </c>
      <c r="N176" s="39"/>
      <c r="O176" s="31"/>
    </row>
    <row r="177" spans="1:15" ht="18" customHeight="1" x14ac:dyDescent="0.15">
      <c r="A177" s="14"/>
      <c r="B177" s="15" t="s">
        <v>447</v>
      </c>
      <c r="C177" s="14" t="s">
        <v>333</v>
      </c>
      <c r="D177" s="14" t="s">
        <v>24</v>
      </c>
      <c r="E177" s="14" t="s">
        <v>150</v>
      </c>
      <c r="F177" s="14">
        <v>150</v>
      </c>
      <c r="G177" s="14">
        <v>162.44300000000001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52" t="s">
        <v>43</v>
      </c>
      <c r="O177" s="31"/>
    </row>
    <row r="178" spans="1:15" ht="18" customHeight="1" x14ac:dyDescent="0.15">
      <c r="A178" s="14" t="s">
        <v>448</v>
      </c>
      <c r="B178" s="15" t="s">
        <v>449</v>
      </c>
      <c r="C178" s="14" t="s">
        <v>191</v>
      </c>
      <c r="D178" s="14" t="s">
        <v>24</v>
      </c>
      <c r="E178" s="14" t="s">
        <v>450</v>
      </c>
      <c r="F178" s="14">
        <v>250</v>
      </c>
      <c r="G178" s="14">
        <v>170</v>
      </c>
      <c r="H178" s="14">
        <v>51</v>
      </c>
      <c r="I178" s="14">
        <v>49</v>
      </c>
      <c r="J178" s="14">
        <v>55</v>
      </c>
      <c r="K178" s="14">
        <v>55</v>
      </c>
      <c r="L178" s="14">
        <v>55</v>
      </c>
      <c r="M178" s="14">
        <v>55</v>
      </c>
      <c r="N178" s="52" t="s">
        <v>229</v>
      </c>
      <c r="O178" s="31"/>
    </row>
    <row r="179" spans="1:15" ht="18" customHeight="1" x14ac:dyDescent="0.15">
      <c r="A179" s="14" t="s">
        <v>451</v>
      </c>
      <c r="B179" s="15" t="s">
        <v>452</v>
      </c>
      <c r="C179" s="14" t="s">
        <v>191</v>
      </c>
      <c r="D179" s="14" t="s">
        <v>24</v>
      </c>
      <c r="E179" s="14" t="s">
        <v>453</v>
      </c>
      <c r="F179" s="14">
        <v>274</v>
      </c>
      <c r="G179" s="14">
        <v>274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52" t="s">
        <v>210</v>
      </c>
      <c r="O179" s="31"/>
    </row>
    <row r="180" spans="1:15" ht="18" customHeight="1" x14ac:dyDescent="0.15">
      <c r="A180" s="14" t="s">
        <v>454</v>
      </c>
      <c r="B180" s="15" t="s">
        <v>455</v>
      </c>
      <c r="C180" s="14" t="s">
        <v>333</v>
      </c>
      <c r="D180" s="14" t="s">
        <v>24</v>
      </c>
      <c r="E180" s="14" t="s">
        <v>317</v>
      </c>
      <c r="F180" s="14">
        <v>20</v>
      </c>
      <c r="G180" s="14">
        <v>20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52" t="s">
        <v>43</v>
      </c>
      <c r="O180" s="31"/>
    </row>
    <row r="181" spans="1:15" ht="18" customHeight="1" x14ac:dyDescent="0.15">
      <c r="A181" s="14" t="s">
        <v>456</v>
      </c>
      <c r="B181" s="15" t="s">
        <v>457</v>
      </c>
      <c r="C181" s="14" t="s">
        <v>333</v>
      </c>
      <c r="D181" s="14" t="s">
        <v>24</v>
      </c>
      <c r="E181" s="14" t="s">
        <v>317</v>
      </c>
      <c r="F181" s="14">
        <v>20</v>
      </c>
      <c r="G181" s="14">
        <v>20</v>
      </c>
      <c r="H181" s="14">
        <v>0</v>
      </c>
      <c r="I181" s="14">
        <v>0</v>
      </c>
      <c r="J181" s="14">
        <v>14</v>
      </c>
      <c r="K181" s="14">
        <v>14</v>
      </c>
      <c r="L181" s="14">
        <v>0</v>
      </c>
      <c r="M181" s="14">
        <v>0</v>
      </c>
      <c r="N181" s="52" t="s">
        <v>43</v>
      </c>
      <c r="O181" s="31"/>
    </row>
    <row r="182" spans="1:15" ht="18" customHeight="1" x14ac:dyDescent="0.15">
      <c r="A182" s="14" t="s">
        <v>458</v>
      </c>
      <c r="B182" s="15" t="s">
        <v>459</v>
      </c>
      <c r="C182" s="14" t="s">
        <v>59</v>
      </c>
      <c r="D182" s="14" t="s">
        <v>37</v>
      </c>
      <c r="E182" s="14" t="s">
        <v>460</v>
      </c>
      <c r="F182" s="14">
        <v>113</v>
      </c>
      <c r="G182" s="14">
        <v>113</v>
      </c>
      <c r="H182" s="14">
        <v>0</v>
      </c>
      <c r="I182" s="14">
        <v>92</v>
      </c>
      <c r="J182" s="14">
        <v>113</v>
      </c>
      <c r="K182" s="14">
        <v>113</v>
      </c>
      <c r="L182" s="14">
        <v>35</v>
      </c>
      <c r="M182" s="14">
        <v>35</v>
      </c>
      <c r="N182" s="52" t="s">
        <v>73</v>
      </c>
      <c r="O182" s="31"/>
    </row>
    <row r="183" spans="1:15" ht="18" customHeight="1" x14ac:dyDescent="0.15">
      <c r="A183" s="14" t="s">
        <v>461</v>
      </c>
      <c r="B183" s="15" t="s">
        <v>462</v>
      </c>
      <c r="C183" s="14" t="s">
        <v>115</v>
      </c>
      <c r="D183" s="14" t="s">
        <v>37</v>
      </c>
      <c r="E183" s="14"/>
      <c r="F183" s="14">
        <v>8</v>
      </c>
      <c r="G183" s="14">
        <v>8</v>
      </c>
      <c r="H183" s="14">
        <v>7.1</v>
      </c>
      <c r="I183" s="14">
        <v>0</v>
      </c>
      <c r="J183" s="14">
        <v>6.8</v>
      </c>
      <c r="K183" s="14">
        <v>0</v>
      </c>
      <c r="L183" s="14">
        <v>6.8</v>
      </c>
      <c r="M183" s="14">
        <v>0</v>
      </c>
      <c r="N183" s="52" t="s">
        <v>43</v>
      </c>
      <c r="O183" s="31"/>
    </row>
    <row r="184" spans="1:15" ht="18" customHeight="1" x14ac:dyDescent="0.15">
      <c r="A184" s="14" t="s">
        <v>463</v>
      </c>
      <c r="B184" s="15" t="s">
        <v>464</v>
      </c>
      <c r="C184" s="14" t="s">
        <v>59</v>
      </c>
      <c r="D184" s="14" t="s">
        <v>37</v>
      </c>
      <c r="E184" s="14"/>
      <c r="F184" s="14">
        <v>115</v>
      </c>
      <c r="G184" s="14">
        <v>115</v>
      </c>
      <c r="H184" s="14">
        <v>35</v>
      </c>
      <c r="I184" s="14">
        <v>50</v>
      </c>
      <c r="J184" s="14">
        <v>115</v>
      </c>
      <c r="K184" s="14">
        <v>115</v>
      </c>
      <c r="L184" s="14">
        <v>115</v>
      </c>
      <c r="M184" s="14">
        <v>115</v>
      </c>
      <c r="N184" s="52" t="s">
        <v>43</v>
      </c>
      <c r="O184" s="31"/>
    </row>
    <row r="185" spans="1:15" ht="18" customHeight="1" x14ac:dyDescent="0.15">
      <c r="A185" s="14" t="s">
        <v>465</v>
      </c>
      <c r="B185" s="15" t="s">
        <v>466</v>
      </c>
      <c r="C185" s="14" t="s">
        <v>115</v>
      </c>
      <c r="D185" s="14" t="s">
        <v>37</v>
      </c>
      <c r="E185" s="14" t="s">
        <v>467</v>
      </c>
      <c r="F185" s="14">
        <v>30</v>
      </c>
      <c r="G185" s="14">
        <v>30</v>
      </c>
      <c r="H185" s="14">
        <v>14</v>
      </c>
      <c r="I185" s="14">
        <v>0</v>
      </c>
      <c r="J185" s="14">
        <v>30</v>
      </c>
      <c r="K185" s="14">
        <v>0</v>
      </c>
      <c r="L185" s="14">
        <v>30</v>
      </c>
      <c r="M185" s="14">
        <v>0</v>
      </c>
      <c r="N185" s="52" t="s">
        <v>43</v>
      </c>
      <c r="O185" s="31"/>
    </row>
    <row r="186" spans="1:15" ht="18" customHeight="1" x14ac:dyDescent="0.15">
      <c r="A186" s="14" t="s">
        <v>468</v>
      </c>
      <c r="B186" s="15" t="s">
        <v>469</v>
      </c>
      <c r="C186" s="14" t="s">
        <v>115</v>
      </c>
      <c r="D186" s="14" t="s">
        <v>384</v>
      </c>
      <c r="E186" s="14"/>
      <c r="F186" s="14">
        <v>200</v>
      </c>
      <c r="G186" s="14">
        <v>200</v>
      </c>
      <c r="H186" s="14">
        <v>128</v>
      </c>
      <c r="I186" s="14">
        <v>0</v>
      </c>
      <c r="J186" s="14">
        <v>166.22</v>
      </c>
      <c r="K186" s="14">
        <v>0</v>
      </c>
      <c r="L186" s="14">
        <v>166.22</v>
      </c>
      <c r="M186" s="14">
        <v>0</v>
      </c>
      <c r="N186" s="52" t="s">
        <v>43</v>
      </c>
      <c r="O186" s="31"/>
    </row>
    <row r="187" spans="1:15" ht="18" customHeight="1" x14ac:dyDescent="0.15">
      <c r="A187" s="39" t="s">
        <v>470</v>
      </c>
      <c r="B187" s="54"/>
      <c r="C187" s="54"/>
      <c r="D187" s="54"/>
      <c r="E187" s="31"/>
      <c r="F187" s="11">
        <v>1180</v>
      </c>
      <c r="G187" s="11">
        <v>1112.443</v>
      </c>
      <c r="H187" s="11">
        <v>235.1</v>
      </c>
      <c r="I187" s="11">
        <v>191</v>
      </c>
      <c r="J187" s="11">
        <v>500.02</v>
      </c>
      <c r="K187" s="11">
        <v>297</v>
      </c>
      <c r="L187" s="11">
        <v>408.02</v>
      </c>
      <c r="M187" s="11">
        <v>205</v>
      </c>
      <c r="N187" s="39"/>
      <c r="O187" s="31"/>
    </row>
    <row r="188" spans="1:15" ht="18" customHeight="1" x14ac:dyDescent="0.15">
      <c r="A188" s="39" t="s">
        <v>471</v>
      </c>
      <c r="B188" s="54"/>
      <c r="C188" s="54"/>
      <c r="D188" s="54"/>
      <c r="E188" s="31"/>
      <c r="F188" s="11">
        <v>28823.200000000001</v>
      </c>
      <c r="G188" s="11">
        <v>29269.987000000001</v>
      </c>
      <c r="H188" s="11">
        <v>13049.46</v>
      </c>
      <c r="I188" s="11">
        <v>13849.14</v>
      </c>
      <c r="J188" s="11">
        <v>22370.84</v>
      </c>
      <c r="K188" s="11">
        <v>21744.23</v>
      </c>
      <c r="L188" s="11">
        <v>13574.18</v>
      </c>
      <c r="M188" s="11">
        <v>14341.57</v>
      </c>
      <c r="N188" s="39"/>
      <c r="O188" s="31"/>
    </row>
    <row r="189" spans="1:15" ht="18" customHeight="1" x14ac:dyDescent="0.15"/>
    <row r="190" spans="1:15" ht="18" customHeight="1" x14ac:dyDescent="0.15"/>
    <row r="191" spans="1:15" ht="18" customHeight="1" x14ac:dyDescent="0.15"/>
    <row r="192" spans="1:15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spans="1:26" ht="24.75" customHeight="1" x14ac:dyDescent="0.25">
      <c r="A209" s="18"/>
      <c r="B209" s="18"/>
      <c r="C209" s="18"/>
      <c r="D209" s="19"/>
      <c r="E209" s="55" t="s">
        <v>472</v>
      </c>
      <c r="F209" s="54"/>
      <c r="G209" s="54"/>
      <c r="H209" s="54"/>
      <c r="I209" s="54"/>
      <c r="J209" s="54"/>
      <c r="K209" s="56"/>
      <c r="L209" s="20"/>
      <c r="M209" s="18"/>
      <c r="N209" s="18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4.75" customHeight="1" x14ac:dyDescent="0.15">
      <c r="E210" s="22" t="s">
        <v>473</v>
      </c>
      <c r="F210" s="57" t="s">
        <v>474</v>
      </c>
      <c r="G210" s="43"/>
      <c r="H210" s="57" t="s">
        <v>475</v>
      </c>
      <c r="I210" s="43"/>
      <c r="J210" s="58" t="s">
        <v>476</v>
      </c>
      <c r="K210" s="43"/>
    </row>
    <row r="211" spans="1:26" ht="24.75" customHeight="1" x14ac:dyDescent="0.25">
      <c r="E211" s="23">
        <v>0</v>
      </c>
      <c r="F211" s="32">
        <v>12828</v>
      </c>
      <c r="G211" s="31"/>
      <c r="H211" s="32">
        <v>696</v>
      </c>
      <c r="I211" s="31"/>
      <c r="J211" s="32">
        <v>13550</v>
      </c>
      <c r="K211" s="31"/>
    </row>
    <row r="212" spans="1:26" ht="24.75" customHeight="1" x14ac:dyDescent="0.25">
      <c r="E212" s="23">
        <v>4.1666666666666657E-2</v>
      </c>
      <c r="F212" s="32">
        <v>12462</v>
      </c>
      <c r="G212" s="31"/>
      <c r="H212" s="32">
        <v>418</v>
      </c>
      <c r="I212" s="31"/>
      <c r="J212" s="32">
        <v>12900</v>
      </c>
      <c r="K212" s="31"/>
    </row>
    <row r="213" spans="1:26" ht="24.75" customHeight="1" x14ac:dyDescent="0.25">
      <c r="E213" s="23">
        <v>8.3333333333333329E-2</v>
      </c>
      <c r="F213" s="32">
        <v>12265</v>
      </c>
      <c r="G213" s="31"/>
      <c r="H213" s="32">
        <v>893</v>
      </c>
      <c r="I213" s="31"/>
      <c r="J213" s="32">
        <v>13200</v>
      </c>
      <c r="K213" s="31"/>
    </row>
    <row r="214" spans="1:26" ht="24.75" customHeight="1" x14ac:dyDescent="0.25">
      <c r="B214" s="24"/>
      <c r="E214" s="23">
        <v>0.125</v>
      </c>
      <c r="F214" s="32">
        <v>12060</v>
      </c>
      <c r="G214" s="31"/>
      <c r="H214" s="32">
        <v>993</v>
      </c>
      <c r="I214" s="31"/>
      <c r="J214" s="32">
        <v>13100</v>
      </c>
      <c r="K214" s="31"/>
    </row>
    <row r="215" spans="1:26" ht="24.75" customHeight="1" x14ac:dyDescent="0.25">
      <c r="E215" s="23">
        <v>0.16666666666666671</v>
      </c>
      <c r="F215" s="32">
        <v>12042</v>
      </c>
      <c r="G215" s="31"/>
      <c r="H215" s="32">
        <v>915</v>
      </c>
      <c r="I215" s="31"/>
      <c r="J215" s="32">
        <v>13000</v>
      </c>
      <c r="K215" s="31"/>
    </row>
    <row r="216" spans="1:26" ht="24.75" customHeight="1" x14ac:dyDescent="0.25">
      <c r="E216" s="23">
        <v>0.20833333333333329</v>
      </c>
      <c r="F216" s="32">
        <v>11985</v>
      </c>
      <c r="G216" s="31"/>
      <c r="H216" s="32">
        <v>874</v>
      </c>
      <c r="I216" s="31"/>
      <c r="J216" s="32">
        <v>12900</v>
      </c>
      <c r="K216" s="31"/>
    </row>
    <row r="217" spans="1:26" ht="24.75" customHeight="1" x14ac:dyDescent="0.25">
      <c r="E217" s="23">
        <v>0.25</v>
      </c>
      <c r="F217" s="32">
        <v>11972</v>
      </c>
      <c r="G217" s="31"/>
      <c r="H217" s="32">
        <v>791</v>
      </c>
      <c r="I217" s="31"/>
      <c r="J217" s="32">
        <v>12800</v>
      </c>
      <c r="K217" s="31"/>
    </row>
    <row r="218" spans="1:26" ht="24.75" customHeight="1" x14ac:dyDescent="0.25">
      <c r="E218" s="23">
        <v>0.29166666666666669</v>
      </c>
      <c r="F218" s="32">
        <v>11918</v>
      </c>
      <c r="G218" s="31"/>
      <c r="H218" s="32">
        <v>1033</v>
      </c>
      <c r="I218" s="31"/>
      <c r="J218" s="32">
        <v>13000</v>
      </c>
      <c r="K218" s="31"/>
    </row>
    <row r="219" spans="1:26" ht="24.75" customHeight="1" x14ac:dyDescent="0.25">
      <c r="E219" s="23">
        <v>0.33333333333333331</v>
      </c>
      <c r="F219" s="32">
        <v>11944</v>
      </c>
      <c r="G219" s="31"/>
      <c r="H219" s="32">
        <v>1056</v>
      </c>
      <c r="I219" s="31"/>
      <c r="J219" s="32">
        <v>13050</v>
      </c>
      <c r="K219" s="31"/>
    </row>
    <row r="220" spans="1:26" ht="24.75" customHeight="1" x14ac:dyDescent="0.25">
      <c r="E220" s="23">
        <v>0.375</v>
      </c>
      <c r="F220" s="32">
        <v>12001</v>
      </c>
      <c r="G220" s="31"/>
      <c r="H220" s="32">
        <v>1241</v>
      </c>
      <c r="I220" s="31"/>
      <c r="J220" s="32">
        <v>13300</v>
      </c>
      <c r="K220" s="31"/>
    </row>
    <row r="221" spans="1:26" ht="24.75" customHeight="1" x14ac:dyDescent="0.25">
      <c r="E221" s="23">
        <v>0.41666666666666669</v>
      </c>
      <c r="F221" s="32">
        <v>12013</v>
      </c>
      <c r="G221" s="31"/>
      <c r="H221" s="30">
        <f t="shared" ref="H221:H236" si="0">(J221-F221)*0.955</f>
        <v>1420.085</v>
      </c>
      <c r="I221" s="31"/>
      <c r="J221" s="32">
        <v>13500</v>
      </c>
      <c r="K221" s="31"/>
    </row>
    <row r="222" spans="1:26" ht="24.75" customHeight="1" x14ac:dyDescent="0.25">
      <c r="E222" s="23">
        <v>0.45833333333333331</v>
      </c>
      <c r="F222" s="32">
        <v>12150</v>
      </c>
      <c r="G222" s="31"/>
      <c r="H222" s="30">
        <f t="shared" si="0"/>
        <v>1480.25</v>
      </c>
      <c r="I222" s="31"/>
      <c r="J222" s="32">
        <v>13700</v>
      </c>
      <c r="K222" s="31"/>
    </row>
    <row r="223" spans="1:26" ht="24.75" customHeight="1" x14ac:dyDescent="0.25">
      <c r="E223" s="23">
        <v>0.5</v>
      </c>
      <c r="F223" s="32">
        <v>12500</v>
      </c>
      <c r="G223" s="31"/>
      <c r="H223" s="30">
        <f t="shared" si="0"/>
        <v>1432.5</v>
      </c>
      <c r="I223" s="31"/>
      <c r="J223" s="32">
        <v>14000</v>
      </c>
      <c r="K223" s="31"/>
    </row>
    <row r="224" spans="1:26" ht="24.75" customHeight="1" x14ac:dyDescent="0.25">
      <c r="E224" s="23">
        <v>0.54166666666666663</v>
      </c>
      <c r="F224" s="32">
        <v>12600</v>
      </c>
      <c r="G224" s="31"/>
      <c r="H224" s="30">
        <f t="shared" si="0"/>
        <v>1384.75</v>
      </c>
      <c r="I224" s="31"/>
      <c r="J224" s="32">
        <v>14050</v>
      </c>
      <c r="K224" s="31"/>
    </row>
    <row r="225" spans="1:15" ht="24.75" customHeight="1" x14ac:dyDescent="0.25">
      <c r="E225" s="23">
        <v>0.58333333333333337</v>
      </c>
      <c r="F225" s="32">
        <v>12800</v>
      </c>
      <c r="G225" s="31"/>
      <c r="H225" s="30">
        <f t="shared" si="0"/>
        <v>1337</v>
      </c>
      <c r="I225" s="31"/>
      <c r="J225" s="32">
        <v>14200</v>
      </c>
      <c r="K225" s="31"/>
    </row>
    <row r="226" spans="1:15" ht="24.75" customHeight="1" x14ac:dyDescent="0.25">
      <c r="E226" s="23">
        <v>0.625</v>
      </c>
      <c r="F226" s="32">
        <v>12900</v>
      </c>
      <c r="G226" s="31"/>
      <c r="H226" s="30">
        <f t="shared" si="0"/>
        <v>1337</v>
      </c>
      <c r="I226" s="31"/>
      <c r="J226" s="32">
        <v>14300</v>
      </c>
      <c r="K226" s="31"/>
    </row>
    <row r="227" spans="1:15" ht="24.75" customHeight="1" x14ac:dyDescent="0.25">
      <c r="E227" s="23">
        <v>0.66666666666666663</v>
      </c>
      <c r="F227" s="32">
        <v>12950</v>
      </c>
      <c r="G227" s="31"/>
      <c r="H227" s="30">
        <f t="shared" si="0"/>
        <v>1480.25</v>
      </c>
      <c r="I227" s="31"/>
      <c r="J227" s="32">
        <v>14500</v>
      </c>
      <c r="K227" s="31"/>
    </row>
    <row r="228" spans="1:15" ht="24.75" customHeight="1" x14ac:dyDescent="0.25">
      <c r="E228" s="23">
        <v>0.70833333333333337</v>
      </c>
      <c r="F228" s="32">
        <v>13000</v>
      </c>
      <c r="G228" s="31"/>
      <c r="H228" s="30">
        <f t="shared" si="0"/>
        <v>1384.75</v>
      </c>
      <c r="I228" s="31"/>
      <c r="J228" s="32">
        <v>14450</v>
      </c>
      <c r="K228" s="31"/>
    </row>
    <row r="229" spans="1:15" ht="24.75" customHeight="1" x14ac:dyDescent="0.25">
      <c r="E229" s="23">
        <v>0.75</v>
      </c>
      <c r="F229" s="32">
        <v>13200</v>
      </c>
      <c r="G229" s="31"/>
      <c r="H229" s="30">
        <f t="shared" si="0"/>
        <v>1432.5</v>
      </c>
      <c r="I229" s="31"/>
      <c r="J229" s="32">
        <v>14700</v>
      </c>
      <c r="K229" s="31"/>
    </row>
    <row r="230" spans="1:15" ht="24.75" customHeight="1" x14ac:dyDescent="0.25">
      <c r="E230" s="23">
        <v>0.77083333333333337</v>
      </c>
      <c r="F230" s="32">
        <v>13300</v>
      </c>
      <c r="G230" s="31"/>
      <c r="H230" s="30">
        <f t="shared" si="0"/>
        <v>1384.75</v>
      </c>
      <c r="I230" s="31"/>
      <c r="J230" s="32">
        <v>14750</v>
      </c>
      <c r="K230" s="31"/>
    </row>
    <row r="231" spans="1:15" ht="24.75" customHeight="1" x14ac:dyDescent="0.25">
      <c r="E231" s="23">
        <v>0.79166666666666663</v>
      </c>
      <c r="F231" s="32">
        <v>14000</v>
      </c>
      <c r="G231" s="31"/>
      <c r="H231" s="30">
        <f t="shared" si="0"/>
        <v>1146</v>
      </c>
      <c r="I231" s="31"/>
      <c r="J231" s="32">
        <v>15200</v>
      </c>
      <c r="K231" s="31"/>
    </row>
    <row r="232" spans="1:15" ht="24.75" customHeight="1" x14ac:dyDescent="0.25">
      <c r="E232" s="23">
        <v>0.8125</v>
      </c>
      <c r="F232" s="32">
        <v>14050</v>
      </c>
      <c r="G232" s="31"/>
      <c r="H232" s="30">
        <f t="shared" si="0"/>
        <v>1193.75</v>
      </c>
      <c r="I232" s="31"/>
      <c r="J232" s="32">
        <v>15300</v>
      </c>
      <c r="K232" s="31"/>
    </row>
    <row r="233" spans="1:15" ht="24.75" customHeight="1" x14ac:dyDescent="0.25">
      <c r="E233" s="23">
        <v>0.83333333333333337</v>
      </c>
      <c r="F233" s="32">
        <v>14100</v>
      </c>
      <c r="G233" s="31"/>
      <c r="H233" s="30">
        <f t="shared" si="0"/>
        <v>1193.75</v>
      </c>
      <c r="I233" s="31"/>
      <c r="J233" s="32">
        <v>15350</v>
      </c>
      <c r="K233" s="31"/>
    </row>
    <row r="234" spans="1:15" ht="24.75" customHeight="1" x14ac:dyDescent="0.25">
      <c r="E234" s="23">
        <v>0.875</v>
      </c>
      <c r="F234" s="32">
        <v>14300</v>
      </c>
      <c r="G234" s="31"/>
      <c r="H234" s="30">
        <f t="shared" si="0"/>
        <v>1146</v>
      </c>
      <c r="I234" s="31"/>
      <c r="J234" s="32">
        <v>15500</v>
      </c>
      <c r="K234" s="31"/>
      <c r="N234" s="25" t="s">
        <v>477</v>
      </c>
    </row>
    <row r="235" spans="1:15" ht="24.75" customHeight="1" x14ac:dyDescent="0.25">
      <c r="E235" s="23">
        <v>0.91666666666666663</v>
      </c>
      <c r="F235" s="32">
        <v>13800</v>
      </c>
      <c r="G235" s="31"/>
      <c r="H235" s="30">
        <f t="shared" si="0"/>
        <v>1337</v>
      </c>
      <c r="I235" s="31"/>
      <c r="J235" s="32">
        <v>15200</v>
      </c>
      <c r="K235" s="31"/>
    </row>
    <row r="236" spans="1:15" ht="24.75" customHeight="1" x14ac:dyDescent="0.25">
      <c r="E236" s="23">
        <v>0.95833333333333337</v>
      </c>
      <c r="F236" s="32">
        <v>13000</v>
      </c>
      <c r="G236" s="31"/>
      <c r="H236" s="30">
        <f t="shared" si="0"/>
        <v>1528</v>
      </c>
      <c r="I236" s="31"/>
      <c r="J236" s="32">
        <v>14600</v>
      </c>
      <c r="K236" s="31"/>
    </row>
    <row r="237" spans="1:15" ht="39.75" customHeight="1" x14ac:dyDescent="0.15"/>
    <row r="238" spans="1:15" ht="24.75" customHeight="1" x14ac:dyDescent="0.15">
      <c r="A238" s="61" t="s">
        <v>478</v>
      </c>
      <c r="B238" s="54"/>
      <c r="C238" s="31"/>
      <c r="D238" s="62" t="s">
        <v>479</v>
      </c>
      <c r="E238" s="31"/>
      <c r="F238" s="63"/>
      <c r="G238" s="54"/>
      <c r="H238" s="54"/>
      <c r="I238" s="54"/>
      <c r="J238" s="54"/>
      <c r="K238" s="54"/>
      <c r="L238" s="54"/>
      <c r="M238" s="54"/>
      <c r="N238" s="54"/>
      <c r="O238" s="31"/>
    </row>
    <row r="239" spans="1:15" ht="24.75" customHeight="1" x14ac:dyDescent="0.15">
      <c r="A239" s="64" t="s">
        <v>480</v>
      </c>
      <c r="B239" s="54"/>
      <c r="C239" s="31"/>
      <c r="D239" s="62" t="s">
        <v>481</v>
      </c>
      <c r="E239" s="54"/>
      <c r="F239" s="59" t="s">
        <v>482</v>
      </c>
      <c r="G239" s="54"/>
      <c r="H239" s="54"/>
      <c r="I239" s="54"/>
      <c r="J239" s="54"/>
      <c r="K239" s="31"/>
      <c r="L239" s="60">
        <v>1146</v>
      </c>
      <c r="M239" s="54"/>
      <c r="N239" s="54"/>
      <c r="O239" s="31"/>
    </row>
    <row r="240" spans="1:15" ht="24.75" customHeight="1" x14ac:dyDescent="0.15">
      <c r="A240" s="64" t="s">
        <v>483</v>
      </c>
      <c r="B240" s="54"/>
      <c r="C240" s="31"/>
      <c r="D240" s="62" t="s">
        <v>484</v>
      </c>
      <c r="E240" s="31"/>
      <c r="F240" s="62" t="s">
        <v>485</v>
      </c>
      <c r="G240" s="54"/>
      <c r="H240" s="54"/>
      <c r="I240" s="54"/>
      <c r="J240" s="54"/>
      <c r="K240" s="54"/>
      <c r="L240" s="54"/>
      <c r="M240" s="54"/>
      <c r="N240" s="54"/>
      <c r="O240" s="31"/>
    </row>
    <row r="241" spans="1:15" ht="24.75" customHeight="1" x14ac:dyDescent="0.15">
      <c r="A241" s="64" t="s">
        <v>486</v>
      </c>
      <c r="B241" s="54"/>
      <c r="C241" s="31"/>
      <c r="D241" s="62" t="s">
        <v>487</v>
      </c>
      <c r="E241" s="31"/>
      <c r="F241" s="26" t="s">
        <v>488</v>
      </c>
      <c r="G241" s="26" t="s">
        <v>489</v>
      </c>
      <c r="H241" s="26" t="s">
        <v>490</v>
      </c>
      <c r="I241" s="26" t="s">
        <v>491</v>
      </c>
      <c r="J241" s="26" t="s">
        <v>492</v>
      </c>
      <c r="K241" s="26" t="s">
        <v>493</v>
      </c>
      <c r="L241" s="26" t="s">
        <v>494</v>
      </c>
      <c r="M241" s="26" t="s">
        <v>495</v>
      </c>
      <c r="N241" s="26" t="s">
        <v>496</v>
      </c>
      <c r="O241" s="26" t="s">
        <v>497</v>
      </c>
    </row>
    <row r="242" spans="1:15" ht="24.75" customHeight="1" x14ac:dyDescent="0.15">
      <c r="A242" s="61" t="s">
        <v>498</v>
      </c>
      <c r="B242" s="54"/>
      <c r="C242" s="31"/>
      <c r="D242" s="62" t="s">
        <v>499</v>
      </c>
      <c r="E242" s="31"/>
      <c r="F242" s="27">
        <v>0</v>
      </c>
      <c r="G242" s="27">
        <v>160</v>
      </c>
      <c r="H242" s="27">
        <v>190</v>
      </c>
      <c r="I242" s="27">
        <v>200</v>
      </c>
      <c r="J242" s="27">
        <v>90</v>
      </c>
      <c r="K242" s="27">
        <v>170</v>
      </c>
      <c r="L242" s="27">
        <v>66</v>
      </c>
      <c r="M242" s="27">
        <v>150</v>
      </c>
      <c r="N242" s="27">
        <v>120</v>
      </c>
      <c r="O242" s="27">
        <f>G242+H242+I242+J242+K242+L242+M242+N242</f>
        <v>1146</v>
      </c>
    </row>
    <row r="243" spans="1:15" ht="18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 ht="18" customHeight="1" x14ac:dyDescent="0.2">
      <c r="A244" s="28"/>
      <c r="B244" s="66" t="s">
        <v>500</v>
      </c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 spans="1:15" ht="18" customHeight="1" x14ac:dyDescent="0.15"/>
    <row r="246" spans="1:15" ht="18" customHeight="1" x14ac:dyDescent="0.15"/>
    <row r="247" spans="1:15" ht="18" customHeight="1" x14ac:dyDescent="0.15"/>
    <row r="248" spans="1:15" ht="18" customHeight="1" x14ac:dyDescent="0.15"/>
    <row r="249" spans="1:15" ht="18" customHeight="1" x14ac:dyDescent="0.15"/>
    <row r="250" spans="1:15" ht="18" customHeight="1" x14ac:dyDescent="0.15"/>
    <row r="251" spans="1:15" ht="18" customHeight="1" x14ac:dyDescent="0.15"/>
    <row r="252" spans="1:15" ht="24.75" customHeight="1" x14ac:dyDescent="0.4">
      <c r="C252" s="65" t="s">
        <v>501</v>
      </c>
      <c r="D252" s="47"/>
      <c r="E252" s="47"/>
      <c r="F252" s="47"/>
      <c r="G252" s="47"/>
      <c r="H252" s="29"/>
      <c r="I252" s="29"/>
      <c r="J252" s="65" t="s">
        <v>502</v>
      </c>
      <c r="K252" s="47"/>
      <c r="L252" s="47"/>
      <c r="M252" s="47"/>
      <c r="N252" s="47"/>
    </row>
    <row r="253" spans="1:15" ht="24.75" customHeight="1" x14ac:dyDescent="0.4">
      <c r="C253" s="65" t="s">
        <v>503</v>
      </c>
      <c r="D253" s="47"/>
      <c r="E253" s="47"/>
      <c r="F253" s="47"/>
      <c r="G253" s="47"/>
      <c r="H253" s="29"/>
      <c r="I253" s="29"/>
      <c r="J253" s="65" t="s">
        <v>503</v>
      </c>
      <c r="K253" s="47"/>
      <c r="L253" s="47"/>
      <c r="M253" s="47"/>
      <c r="N253" s="47"/>
    </row>
    <row r="254" spans="1:15" ht="18" customHeight="1" x14ac:dyDescent="0.15"/>
    <row r="255" spans="1:15" ht="18" customHeight="1" x14ac:dyDescent="0.15"/>
    <row r="256" spans="1:15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2.75" x14ac:dyDescent="0.15"/>
    <row r="450" ht="12.75" x14ac:dyDescent="0.15"/>
    <row r="451" ht="12.75" x14ac:dyDescent="0.15"/>
    <row r="452" ht="12.75" x14ac:dyDescent="0.15"/>
    <row r="453" ht="12.75" x14ac:dyDescent="0.15"/>
    <row r="454" ht="12.75" x14ac:dyDescent="0.15"/>
    <row r="455" ht="12.75" x14ac:dyDescent="0.15"/>
    <row r="456" ht="12.75" x14ac:dyDescent="0.15"/>
    <row r="457" ht="12.75" x14ac:dyDescent="0.15"/>
    <row r="458" ht="12.75" x14ac:dyDescent="0.15"/>
    <row r="459" ht="12.75" x14ac:dyDescent="0.15"/>
    <row r="460" ht="12.75" x14ac:dyDescent="0.15"/>
    <row r="461" ht="12.75" x14ac:dyDescent="0.15"/>
    <row r="462" ht="12.75" x14ac:dyDescent="0.15"/>
    <row r="463" ht="12.75" x14ac:dyDescent="0.15"/>
    <row r="464" ht="12.75" x14ac:dyDescent="0.15"/>
    <row r="465" ht="12.75" x14ac:dyDescent="0.15"/>
    <row r="466" ht="12.75" x14ac:dyDescent="0.15"/>
    <row r="467" ht="12.75" x14ac:dyDescent="0.15"/>
    <row r="468" ht="12.75" x14ac:dyDescent="0.15"/>
    <row r="469" ht="12.75" x14ac:dyDescent="0.15"/>
    <row r="470" ht="12.75" x14ac:dyDescent="0.15"/>
    <row r="471" ht="12.75" x14ac:dyDescent="0.15"/>
    <row r="472" ht="12.75" x14ac:dyDescent="0.15"/>
    <row r="473" ht="12.75" x14ac:dyDescent="0.15"/>
    <row r="474" ht="12.75" x14ac:dyDescent="0.15"/>
    <row r="475" ht="12.75" x14ac:dyDescent="0.15"/>
    <row r="476" ht="12.75" x14ac:dyDescent="0.15"/>
    <row r="477" ht="12.75" x14ac:dyDescent="0.15"/>
    <row r="478" ht="12.75" x14ac:dyDescent="0.15"/>
    <row r="479" ht="12.75" x14ac:dyDescent="0.15"/>
    <row r="480" ht="12.75" x14ac:dyDescent="0.15"/>
    <row r="481" ht="12.75" x14ac:dyDescent="0.15"/>
    <row r="482" ht="12.75" x14ac:dyDescent="0.15"/>
    <row r="483" ht="12.75" x14ac:dyDescent="0.15"/>
    <row r="484" ht="12.75" x14ac:dyDescent="0.15"/>
    <row r="485" ht="12.75" x14ac:dyDescent="0.15"/>
    <row r="486" ht="12.75" x14ac:dyDescent="0.15"/>
    <row r="487" ht="12.75" x14ac:dyDescent="0.15"/>
    <row r="488" ht="12.75" x14ac:dyDescent="0.15"/>
    <row r="489" ht="12.75" x14ac:dyDescent="0.15"/>
    <row r="490" ht="12.75" x14ac:dyDescent="0.15"/>
    <row r="491" ht="12.75" x14ac:dyDescent="0.15"/>
    <row r="492" ht="12.75" x14ac:dyDescent="0.15"/>
    <row r="493" ht="12.75" x14ac:dyDescent="0.15"/>
    <row r="494" ht="12.75" x14ac:dyDescent="0.15"/>
    <row r="495" ht="12.75" x14ac:dyDescent="0.15"/>
    <row r="496" ht="12.75" x14ac:dyDescent="0.15"/>
    <row r="497" ht="12.75" x14ac:dyDescent="0.15"/>
    <row r="498" ht="12.75" x14ac:dyDescent="0.15"/>
    <row r="499" ht="12.75" x14ac:dyDescent="0.15"/>
    <row r="500" ht="12.75" x14ac:dyDescent="0.15"/>
    <row r="501" ht="12.75" x14ac:dyDescent="0.15"/>
    <row r="502" ht="12.75" x14ac:dyDescent="0.15"/>
    <row r="503" ht="12.75" x14ac:dyDescent="0.15"/>
    <row r="504" ht="12.75" x14ac:dyDescent="0.15"/>
    <row r="505" ht="12.75" x14ac:dyDescent="0.15"/>
    <row r="506" ht="12.75" x14ac:dyDescent="0.15"/>
    <row r="507" ht="12.75" x14ac:dyDescent="0.15"/>
    <row r="508" ht="12.75" x14ac:dyDescent="0.15"/>
    <row r="509" ht="12.75" x14ac:dyDescent="0.15"/>
    <row r="510" ht="12.75" x14ac:dyDescent="0.15"/>
    <row r="511" ht="12.75" x14ac:dyDescent="0.15"/>
    <row r="512" ht="12.75" x14ac:dyDescent="0.15"/>
    <row r="513" ht="12.75" x14ac:dyDescent="0.15"/>
    <row r="514" ht="12.75" x14ac:dyDescent="0.15"/>
    <row r="515" ht="12.75" x14ac:dyDescent="0.15"/>
    <row r="516" ht="12.75" x14ac:dyDescent="0.15"/>
    <row r="517" ht="12.75" x14ac:dyDescent="0.15"/>
    <row r="518" ht="12.75" x14ac:dyDescent="0.15"/>
    <row r="519" ht="12.75" x14ac:dyDescent="0.15"/>
    <row r="520" ht="12.75" x14ac:dyDescent="0.15"/>
    <row r="521" ht="12.75" x14ac:dyDescent="0.15"/>
    <row r="522" ht="12.75" x14ac:dyDescent="0.15"/>
    <row r="523" ht="12.75" x14ac:dyDescent="0.15"/>
    <row r="524" ht="12.75" x14ac:dyDescent="0.15"/>
    <row r="525" ht="12.75" x14ac:dyDescent="0.15"/>
    <row r="526" ht="12.75" x14ac:dyDescent="0.15"/>
    <row r="527" ht="12.75" x14ac:dyDescent="0.15"/>
    <row r="528" ht="12.75" x14ac:dyDescent="0.15"/>
    <row r="529" ht="12.75" x14ac:dyDescent="0.15"/>
    <row r="530" ht="12.75" x14ac:dyDescent="0.15"/>
    <row r="531" ht="12.75" x14ac:dyDescent="0.15"/>
    <row r="532" ht="12.75" x14ac:dyDescent="0.15"/>
    <row r="533" ht="12.75" x14ac:dyDescent="0.15"/>
    <row r="534" ht="12.75" x14ac:dyDescent="0.15"/>
    <row r="535" ht="12.75" x14ac:dyDescent="0.15"/>
    <row r="536" ht="12.75" x14ac:dyDescent="0.15"/>
    <row r="537" ht="12.75" x14ac:dyDescent="0.15"/>
    <row r="538" ht="12.75" x14ac:dyDescent="0.15"/>
    <row r="539" ht="12.75" x14ac:dyDescent="0.15"/>
    <row r="540" ht="12.75" x14ac:dyDescent="0.15"/>
    <row r="541" ht="12.75" x14ac:dyDescent="0.15"/>
    <row r="542" ht="12.75" x14ac:dyDescent="0.15"/>
    <row r="543" ht="12.75" x14ac:dyDescent="0.15"/>
    <row r="544" ht="12.75" x14ac:dyDescent="0.15"/>
    <row r="545" ht="12.75" x14ac:dyDescent="0.15"/>
    <row r="546" ht="12.75" x14ac:dyDescent="0.15"/>
    <row r="547" ht="12.75" x14ac:dyDescent="0.15"/>
    <row r="548" ht="12.75" x14ac:dyDescent="0.15"/>
    <row r="549" ht="12.75" x14ac:dyDescent="0.15"/>
    <row r="550" ht="12.75" x14ac:dyDescent="0.15"/>
    <row r="551" ht="12.75" x14ac:dyDescent="0.15"/>
    <row r="552" ht="12.75" x14ac:dyDescent="0.15"/>
    <row r="553" ht="12.75" x14ac:dyDescent="0.15"/>
    <row r="554" ht="12.75" x14ac:dyDescent="0.15"/>
    <row r="555" ht="12.75" x14ac:dyDescent="0.15"/>
    <row r="556" ht="12.75" x14ac:dyDescent="0.15"/>
    <row r="557" ht="12.75" x14ac:dyDescent="0.15"/>
    <row r="558" ht="12.75" x14ac:dyDescent="0.15"/>
    <row r="559" ht="12.75" x14ac:dyDescent="0.15"/>
    <row r="560" ht="12.75" x14ac:dyDescent="0.15"/>
    <row r="561" ht="12.75" x14ac:dyDescent="0.15"/>
    <row r="562" ht="12.75" x14ac:dyDescent="0.15"/>
    <row r="563" ht="12.75" x14ac:dyDescent="0.15"/>
    <row r="564" ht="12.75" x14ac:dyDescent="0.15"/>
    <row r="565" ht="12.75" x14ac:dyDescent="0.15"/>
    <row r="566" ht="12.75" x14ac:dyDescent="0.15"/>
    <row r="567" ht="12.75" x14ac:dyDescent="0.15"/>
    <row r="568" ht="12.75" x14ac:dyDescent="0.15"/>
    <row r="569" ht="12.75" x14ac:dyDescent="0.15"/>
    <row r="570" ht="12.75" x14ac:dyDescent="0.15"/>
    <row r="571" ht="12.75" x14ac:dyDescent="0.15"/>
    <row r="572" ht="12.75" x14ac:dyDescent="0.15"/>
    <row r="573" ht="12.75" x14ac:dyDescent="0.15"/>
    <row r="574" ht="12.75" x14ac:dyDescent="0.15"/>
    <row r="575" ht="12.75" x14ac:dyDescent="0.15"/>
    <row r="576" ht="12.75" x14ac:dyDescent="0.15"/>
    <row r="577" ht="12.75" x14ac:dyDescent="0.15"/>
    <row r="578" ht="12.75" x14ac:dyDescent="0.15"/>
    <row r="579" ht="12.75" x14ac:dyDescent="0.15"/>
    <row r="580" ht="12.75" x14ac:dyDescent="0.15"/>
    <row r="581" ht="12.75" x14ac:dyDescent="0.15"/>
    <row r="582" ht="12.75" x14ac:dyDescent="0.15"/>
    <row r="583" ht="12.75" x14ac:dyDescent="0.15"/>
    <row r="584" ht="12.75" x14ac:dyDescent="0.15"/>
    <row r="585" ht="12.75" x14ac:dyDescent="0.15"/>
    <row r="586" ht="12.75" x14ac:dyDescent="0.15"/>
    <row r="587" ht="12.75" x14ac:dyDescent="0.15"/>
    <row r="588" ht="12.75" x14ac:dyDescent="0.15"/>
    <row r="589" ht="12.75" x14ac:dyDescent="0.15"/>
    <row r="590" ht="12.75" x14ac:dyDescent="0.15"/>
    <row r="591" ht="12.75" x14ac:dyDescent="0.15"/>
    <row r="592" ht="12.75" x14ac:dyDescent="0.15"/>
    <row r="593" ht="12.75" x14ac:dyDescent="0.15"/>
    <row r="594" ht="12.75" x14ac:dyDescent="0.15"/>
    <row r="595" ht="12.75" x14ac:dyDescent="0.15"/>
    <row r="596" ht="12.75" x14ac:dyDescent="0.15"/>
    <row r="597" ht="12.75" x14ac:dyDescent="0.15"/>
    <row r="598" ht="12.75" x14ac:dyDescent="0.15"/>
    <row r="599" ht="12.75" x14ac:dyDescent="0.15"/>
    <row r="600" ht="12.75" x14ac:dyDescent="0.15"/>
    <row r="601" ht="12.75" x14ac:dyDescent="0.15"/>
    <row r="602" ht="12.75" x14ac:dyDescent="0.15"/>
    <row r="603" ht="12.75" x14ac:dyDescent="0.15"/>
    <row r="604" ht="12.75" x14ac:dyDescent="0.15"/>
    <row r="605" ht="12.75" x14ac:dyDescent="0.15"/>
    <row r="606" ht="12.75" x14ac:dyDescent="0.15"/>
    <row r="607" ht="12.75" x14ac:dyDescent="0.15"/>
    <row r="608" ht="12.75" x14ac:dyDescent="0.15"/>
    <row r="609" ht="12.75" x14ac:dyDescent="0.15"/>
    <row r="610" ht="12.75" x14ac:dyDescent="0.15"/>
    <row r="611" ht="12.75" x14ac:dyDescent="0.15"/>
    <row r="612" ht="12.75" x14ac:dyDescent="0.15"/>
    <row r="613" ht="12.75" x14ac:dyDescent="0.15"/>
    <row r="614" ht="12.75" x14ac:dyDescent="0.15"/>
    <row r="615" ht="12.75" x14ac:dyDescent="0.15"/>
    <row r="616" ht="12.75" x14ac:dyDescent="0.15"/>
    <row r="617" ht="12.75" x14ac:dyDescent="0.15"/>
    <row r="618" ht="12.75" x14ac:dyDescent="0.15"/>
    <row r="619" ht="12.75" x14ac:dyDescent="0.15"/>
    <row r="620" ht="12.75" x14ac:dyDescent="0.15"/>
    <row r="621" ht="12.75" x14ac:dyDescent="0.15"/>
    <row r="622" ht="12.75" x14ac:dyDescent="0.15"/>
    <row r="623" ht="12.75" x14ac:dyDescent="0.15"/>
    <row r="624" ht="12.75" x14ac:dyDescent="0.15"/>
    <row r="625" ht="12.75" x14ac:dyDescent="0.15"/>
    <row r="626" ht="12.75" x14ac:dyDescent="0.15"/>
    <row r="627" ht="12.75" x14ac:dyDescent="0.15"/>
    <row r="628" ht="12.75" x14ac:dyDescent="0.15"/>
    <row r="629" ht="12.75" x14ac:dyDescent="0.15"/>
    <row r="630" ht="12.75" x14ac:dyDescent="0.15"/>
    <row r="631" ht="12.75" x14ac:dyDescent="0.15"/>
    <row r="632" ht="12.75" x14ac:dyDescent="0.15"/>
    <row r="633" ht="12.75" x14ac:dyDescent="0.15"/>
    <row r="634" ht="12.75" x14ac:dyDescent="0.15"/>
    <row r="635" ht="12.75" x14ac:dyDescent="0.15"/>
    <row r="636" ht="12.75" x14ac:dyDescent="0.15"/>
    <row r="637" ht="12.75" x14ac:dyDescent="0.15"/>
    <row r="638" ht="12.75" x14ac:dyDescent="0.15"/>
    <row r="639" ht="12.75" x14ac:dyDescent="0.15"/>
    <row r="640" ht="12.75" x14ac:dyDescent="0.15"/>
    <row r="641" ht="12.75" x14ac:dyDescent="0.15"/>
    <row r="642" ht="12.75" x14ac:dyDescent="0.15"/>
    <row r="643" ht="12.75" x14ac:dyDescent="0.15"/>
    <row r="644" ht="12.75" x14ac:dyDescent="0.15"/>
    <row r="645" ht="12.75" x14ac:dyDescent="0.15"/>
    <row r="646" ht="12.75" x14ac:dyDescent="0.15"/>
    <row r="647" ht="12.75" x14ac:dyDescent="0.15"/>
    <row r="648" ht="12.75" x14ac:dyDescent="0.15"/>
    <row r="649" ht="12.75" x14ac:dyDescent="0.15"/>
    <row r="650" ht="12.75" x14ac:dyDescent="0.15"/>
    <row r="651" ht="12.75" x14ac:dyDescent="0.15"/>
    <row r="652" ht="12.75" x14ac:dyDescent="0.15"/>
    <row r="653" ht="12.75" x14ac:dyDescent="0.15"/>
    <row r="654" ht="12.75" x14ac:dyDescent="0.15"/>
    <row r="655" ht="12.75" x14ac:dyDescent="0.15"/>
    <row r="656" ht="12.75" x14ac:dyDescent="0.15"/>
    <row r="657" ht="12.75" x14ac:dyDescent="0.15"/>
    <row r="658" ht="12.75" x14ac:dyDescent="0.15"/>
    <row r="659" ht="12.75" x14ac:dyDescent="0.15"/>
    <row r="660" ht="12.75" x14ac:dyDescent="0.15"/>
    <row r="661" ht="12.75" x14ac:dyDescent="0.15"/>
    <row r="662" ht="12.75" x14ac:dyDescent="0.15"/>
    <row r="663" ht="12.75" x14ac:dyDescent="0.15"/>
    <row r="664" ht="12.75" x14ac:dyDescent="0.15"/>
    <row r="665" ht="12.75" x14ac:dyDescent="0.15"/>
    <row r="666" ht="12.75" x14ac:dyDescent="0.15"/>
    <row r="667" ht="12.75" x14ac:dyDescent="0.15"/>
    <row r="668" ht="12.75" x14ac:dyDescent="0.15"/>
    <row r="669" ht="12.75" x14ac:dyDescent="0.15"/>
    <row r="670" ht="12.75" x14ac:dyDescent="0.15"/>
    <row r="671" ht="12.75" x14ac:dyDescent="0.15"/>
    <row r="672" ht="12.75" x14ac:dyDescent="0.15"/>
    <row r="673" ht="12.75" x14ac:dyDescent="0.15"/>
    <row r="674" ht="12.75" x14ac:dyDescent="0.15"/>
    <row r="675" ht="12.75" x14ac:dyDescent="0.15"/>
    <row r="676" ht="12.75" x14ac:dyDescent="0.15"/>
    <row r="677" ht="12.75" x14ac:dyDescent="0.15"/>
    <row r="678" ht="12.75" x14ac:dyDescent="0.15"/>
    <row r="679" ht="12.75" x14ac:dyDescent="0.15"/>
    <row r="680" ht="12.75" x14ac:dyDescent="0.15"/>
    <row r="681" ht="12.75" x14ac:dyDescent="0.15"/>
    <row r="682" ht="12.75" x14ac:dyDescent="0.15"/>
    <row r="683" ht="12.75" x14ac:dyDescent="0.15"/>
    <row r="684" ht="12.75" x14ac:dyDescent="0.15"/>
    <row r="685" ht="12.75" x14ac:dyDescent="0.15"/>
    <row r="686" ht="12.75" x14ac:dyDescent="0.15"/>
    <row r="687" ht="12.75" x14ac:dyDescent="0.15"/>
    <row r="688" ht="12.75" x14ac:dyDescent="0.15"/>
    <row r="689" ht="12.75" x14ac:dyDescent="0.15"/>
    <row r="690" ht="12.75" x14ac:dyDescent="0.15"/>
    <row r="691" ht="12.75" x14ac:dyDescent="0.15"/>
    <row r="692" ht="12.75" x14ac:dyDescent="0.15"/>
    <row r="693" ht="12.75" x14ac:dyDescent="0.15"/>
    <row r="694" ht="12.75" x14ac:dyDescent="0.15"/>
    <row r="695" ht="12.75" x14ac:dyDescent="0.15"/>
    <row r="696" ht="12.75" x14ac:dyDescent="0.15"/>
    <row r="697" ht="12.75" x14ac:dyDescent="0.15"/>
    <row r="698" ht="12.75" x14ac:dyDescent="0.15"/>
    <row r="699" ht="12.75" x14ac:dyDescent="0.15"/>
    <row r="700" ht="12.75" x14ac:dyDescent="0.15"/>
    <row r="701" ht="12.75" x14ac:dyDescent="0.15"/>
    <row r="702" ht="12.75" x14ac:dyDescent="0.15"/>
    <row r="703" ht="12.75" x14ac:dyDescent="0.15"/>
    <row r="704" ht="12.75" x14ac:dyDescent="0.15"/>
    <row r="705" ht="12.75" x14ac:dyDescent="0.15"/>
    <row r="706" ht="12.75" x14ac:dyDescent="0.15"/>
    <row r="707" ht="12.75" x14ac:dyDescent="0.15"/>
    <row r="708" ht="12.75" x14ac:dyDescent="0.15"/>
    <row r="709" ht="12.75" x14ac:dyDescent="0.15"/>
    <row r="710" ht="12.75" x14ac:dyDescent="0.15"/>
    <row r="711" ht="12.75" x14ac:dyDescent="0.15"/>
    <row r="712" ht="12.75" x14ac:dyDescent="0.15"/>
    <row r="713" ht="12.75" x14ac:dyDescent="0.15"/>
    <row r="714" ht="12.75" x14ac:dyDescent="0.15"/>
    <row r="715" ht="12.75" x14ac:dyDescent="0.15"/>
    <row r="716" ht="12.75" x14ac:dyDescent="0.15"/>
    <row r="717" ht="12.75" x14ac:dyDescent="0.15"/>
    <row r="718" ht="12.75" x14ac:dyDescent="0.15"/>
    <row r="719" ht="12.75" x14ac:dyDescent="0.15"/>
    <row r="720" ht="12.75" x14ac:dyDescent="0.15"/>
    <row r="721" ht="12.75" x14ac:dyDescent="0.15"/>
    <row r="722" ht="12.75" x14ac:dyDescent="0.15"/>
    <row r="723" ht="12.75" x14ac:dyDescent="0.15"/>
    <row r="724" ht="12.75" x14ac:dyDescent="0.15"/>
    <row r="725" ht="12.75" x14ac:dyDescent="0.15"/>
    <row r="726" ht="12.75" x14ac:dyDescent="0.15"/>
    <row r="727" ht="12.75" x14ac:dyDescent="0.15"/>
    <row r="728" ht="12.75" x14ac:dyDescent="0.15"/>
    <row r="729" ht="12.75" x14ac:dyDescent="0.15"/>
    <row r="730" ht="12.75" x14ac:dyDescent="0.15"/>
    <row r="731" ht="12.75" x14ac:dyDescent="0.15"/>
    <row r="732" ht="12.75" x14ac:dyDescent="0.15"/>
    <row r="733" ht="12.75" x14ac:dyDescent="0.15"/>
    <row r="734" ht="12.75" x14ac:dyDescent="0.15"/>
    <row r="735" ht="12.75" x14ac:dyDescent="0.15"/>
    <row r="736" ht="12.75" x14ac:dyDescent="0.15"/>
    <row r="737" ht="12.75" x14ac:dyDescent="0.15"/>
    <row r="738" ht="12.75" x14ac:dyDescent="0.15"/>
    <row r="739" ht="12.75" x14ac:dyDescent="0.15"/>
    <row r="740" ht="12.75" x14ac:dyDescent="0.15"/>
    <row r="741" ht="12.75" x14ac:dyDescent="0.15"/>
    <row r="742" ht="12.75" x14ac:dyDescent="0.15"/>
    <row r="743" ht="12.75" x14ac:dyDescent="0.15"/>
    <row r="744" ht="12.75" x14ac:dyDescent="0.15"/>
    <row r="745" ht="12.75" x14ac:dyDescent="0.15"/>
    <row r="746" ht="12.75" x14ac:dyDescent="0.15"/>
    <row r="747" ht="12.75" x14ac:dyDescent="0.15"/>
    <row r="748" ht="12.75" x14ac:dyDescent="0.15"/>
    <row r="749" ht="12.75" x14ac:dyDescent="0.15"/>
    <row r="750" ht="12.75" x14ac:dyDescent="0.15"/>
    <row r="751" ht="12.75" x14ac:dyDescent="0.15"/>
    <row r="752" ht="12.75" x14ac:dyDescent="0.15"/>
    <row r="753" ht="12.75" x14ac:dyDescent="0.15"/>
    <row r="754" ht="12.75" x14ac:dyDescent="0.15"/>
    <row r="755" ht="12.75" x14ac:dyDescent="0.15"/>
    <row r="756" ht="12.75" x14ac:dyDescent="0.15"/>
    <row r="757" ht="12.75" x14ac:dyDescent="0.15"/>
    <row r="758" ht="12.75" x14ac:dyDescent="0.15"/>
    <row r="759" ht="12.75" x14ac:dyDescent="0.15"/>
    <row r="760" ht="12.75" x14ac:dyDescent="0.15"/>
    <row r="761" ht="12.75" x14ac:dyDescent="0.15"/>
    <row r="762" ht="12.75" x14ac:dyDescent="0.15"/>
    <row r="763" ht="12.75" x14ac:dyDescent="0.15"/>
    <row r="764" ht="12.75" x14ac:dyDescent="0.15"/>
    <row r="765" ht="12.75" x14ac:dyDescent="0.15"/>
    <row r="766" ht="12.75" x14ac:dyDescent="0.15"/>
    <row r="767" ht="12.75" x14ac:dyDescent="0.15"/>
    <row r="768" ht="12.75" x14ac:dyDescent="0.15"/>
    <row r="769" ht="12.75" x14ac:dyDescent="0.15"/>
    <row r="770" ht="12.75" x14ac:dyDescent="0.15"/>
    <row r="771" ht="12.75" x14ac:dyDescent="0.15"/>
    <row r="772" ht="12.75" x14ac:dyDescent="0.15"/>
    <row r="773" ht="12.75" x14ac:dyDescent="0.15"/>
    <row r="774" ht="12.75" x14ac:dyDescent="0.15"/>
    <row r="775" ht="12.75" x14ac:dyDescent="0.15"/>
    <row r="776" ht="12.75" x14ac:dyDescent="0.15"/>
    <row r="777" ht="12.75" x14ac:dyDescent="0.15"/>
    <row r="778" ht="12.75" x14ac:dyDescent="0.15"/>
    <row r="779" ht="12.75" x14ac:dyDescent="0.15"/>
    <row r="780" ht="12.75" x14ac:dyDescent="0.15"/>
    <row r="781" ht="12.75" x14ac:dyDescent="0.15"/>
    <row r="782" ht="12.75" x14ac:dyDescent="0.15"/>
    <row r="783" ht="12.75" x14ac:dyDescent="0.15"/>
    <row r="784" ht="12.75" x14ac:dyDescent="0.15"/>
    <row r="785" ht="12.75" x14ac:dyDescent="0.15"/>
    <row r="786" ht="12.75" x14ac:dyDescent="0.15"/>
    <row r="787" ht="12.75" x14ac:dyDescent="0.15"/>
    <row r="788" ht="12.75" x14ac:dyDescent="0.15"/>
    <row r="789" ht="12.75" x14ac:dyDescent="0.15"/>
    <row r="790" ht="12.75" x14ac:dyDescent="0.15"/>
    <row r="791" ht="12.75" x14ac:dyDescent="0.15"/>
    <row r="792" ht="12.75" x14ac:dyDescent="0.15"/>
    <row r="793" ht="12.75" x14ac:dyDescent="0.15"/>
    <row r="794" ht="12.75" x14ac:dyDescent="0.15"/>
    <row r="795" ht="12.75" x14ac:dyDescent="0.15"/>
    <row r="796" ht="12.75" x14ac:dyDescent="0.15"/>
    <row r="797" ht="12.75" x14ac:dyDescent="0.15"/>
    <row r="798" ht="12.75" x14ac:dyDescent="0.15"/>
    <row r="799" ht="12.75" x14ac:dyDescent="0.15"/>
    <row r="800" ht="12.75" x14ac:dyDescent="0.15"/>
    <row r="801" ht="12.75" x14ac:dyDescent="0.15"/>
    <row r="802" ht="12.75" x14ac:dyDescent="0.15"/>
    <row r="803" ht="12.75" x14ac:dyDescent="0.15"/>
    <row r="804" ht="12.75" x14ac:dyDescent="0.15"/>
    <row r="805" ht="12.75" x14ac:dyDescent="0.15"/>
    <row r="806" ht="12.75" x14ac:dyDescent="0.15"/>
    <row r="807" ht="12.75" x14ac:dyDescent="0.15"/>
    <row r="808" ht="12.75" x14ac:dyDescent="0.15"/>
    <row r="809" ht="12.75" x14ac:dyDescent="0.15"/>
    <row r="810" ht="12.75" x14ac:dyDescent="0.15"/>
    <row r="811" ht="12.75" x14ac:dyDescent="0.15"/>
    <row r="812" ht="12.75" x14ac:dyDescent="0.15"/>
    <row r="813" ht="12.75" x14ac:dyDescent="0.15"/>
    <row r="814" ht="12.75" x14ac:dyDescent="0.15"/>
    <row r="815" ht="12.75" x14ac:dyDescent="0.15"/>
    <row r="816" ht="12.75" x14ac:dyDescent="0.15"/>
    <row r="817" ht="12.75" x14ac:dyDescent="0.15"/>
    <row r="818" ht="12.75" x14ac:dyDescent="0.15"/>
    <row r="819" ht="12.75" x14ac:dyDescent="0.15"/>
    <row r="820" ht="12.75" x14ac:dyDescent="0.15"/>
    <row r="821" ht="12.75" x14ac:dyDescent="0.15"/>
    <row r="822" ht="12.75" x14ac:dyDescent="0.15"/>
    <row r="823" ht="12.75" x14ac:dyDescent="0.15"/>
    <row r="824" ht="12.75" x14ac:dyDescent="0.15"/>
    <row r="825" ht="12.75" x14ac:dyDescent="0.15"/>
    <row r="826" ht="12.75" x14ac:dyDescent="0.15"/>
    <row r="827" ht="12.75" x14ac:dyDescent="0.15"/>
    <row r="828" ht="12.75" x14ac:dyDescent="0.15"/>
    <row r="829" ht="12.75" x14ac:dyDescent="0.15"/>
    <row r="830" ht="12.75" x14ac:dyDescent="0.15"/>
    <row r="831" ht="12.75" x14ac:dyDescent="0.15"/>
    <row r="832" ht="12.75" x14ac:dyDescent="0.15"/>
    <row r="833" ht="12.75" x14ac:dyDescent="0.15"/>
    <row r="834" ht="12.75" x14ac:dyDescent="0.15"/>
    <row r="835" ht="12.75" x14ac:dyDescent="0.15"/>
    <row r="836" ht="12.75" x14ac:dyDescent="0.15"/>
    <row r="837" ht="12.75" x14ac:dyDescent="0.15"/>
    <row r="838" ht="12.75" x14ac:dyDescent="0.15"/>
    <row r="839" ht="12.75" x14ac:dyDescent="0.15"/>
    <row r="840" ht="12.75" x14ac:dyDescent="0.15"/>
    <row r="841" ht="12.75" x14ac:dyDescent="0.15"/>
    <row r="842" ht="12.75" x14ac:dyDescent="0.15"/>
    <row r="843" ht="12.75" x14ac:dyDescent="0.15"/>
    <row r="844" ht="12.75" x14ac:dyDescent="0.15"/>
    <row r="845" ht="12.75" x14ac:dyDescent="0.15"/>
    <row r="846" ht="12.75" x14ac:dyDescent="0.15"/>
    <row r="847" ht="12.75" x14ac:dyDescent="0.15"/>
    <row r="848" ht="12.75" x14ac:dyDescent="0.15"/>
    <row r="849" ht="12.75" x14ac:dyDescent="0.15"/>
    <row r="850" ht="12.75" x14ac:dyDescent="0.15"/>
    <row r="851" ht="12.75" x14ac:dyDescent="0.15"/>
    <row r="852" ht="12.75" x14ac:dyDescent="0.15"/>
    <row r="853" ht="12.75" x14ac:dyDescent="0.15"/>
    <row r="854" ht="12.75" x14ac:dyDescent="0.15"/>
    <row r="855" ht="12.75" x14ac:dyDescent="0.15"/>
    <row r="856" ht="12.75" x14ac:dyDescent="0.15"/>
    <row r="857" ht="12.75" x14ac:dyDescent="0.15"/>
    <row r="858" ht="12.75" x14ac:dyDescent="0.15"/>
    <row r="859" ht="12.75" x14ac:dyDescent="0.15"/>
    <row r="860" ht="12.75" x14ac:dyDescent="0.15"/>
    <row r="861" ht="12.75" x14ac:dyDescent="0.15"/>
    <row r="862" ht="12.75" x14ac:dyDescent="0.15"/>
    <row r="863" ht="12.75" x14ac:dyDescent="0.15"/>
    <row r="864" ht="12.75" x14ac:dyDescent="0.15"/>
    <row r="865" ht="12.75" x14ac:dyDescent="0.15"/>
    <row r="866" ht="12.75" x14ac:dyDescent="0.15"/>
    <row r="867" ht="12.75" x14ac:dyDescent="0.15"/>
    <row r="868" ht="12.75" x14ac:dyDescent="0.15"/>
    <row r="869" ht="12.75" x14ac:dyDescent="0.15"/>
    <row r="870" ht="12.75" x14ac:dyDescent="0.15"/>
    <row r="871" ht="12.75" x14ac:dyDescent="0.15"/>
    <row r="872" ht="12.75" x14ac:dyDescent="0.15"/>
    <row r="873" ht="12.75" x14ac:dyDescent="0.15"/>
    <row r="874" ht="12.75" x14ac:dyDescent="0.15"/>
    <row r="875" ht="12.75" x14ac:dyDescent="0.15"/>
    <row r="876" ht="12.75" x14ac:dyDescent="0.15"/>
    <row r="877" ht="12.75" x14ac:dyDescent="0.15"/>
    <row r="878" ht="12.75" x14ac:dyDescent="0.15"/>
    <row r="879" ht="12.75" x14ac:dyDescent="0.15"/>
    <row r="880" ht="12.75" x14ac:dyDescent="0.15"/>
    <row r="881" ht="12.75" x14ac:dyDescent="0.15"/>
    <row r="882" ht="12.75" x14ac:dyDescent="0.15"/>
    <row r="883" ht="12.75" x14ac:dyDescent="0.15"/>
    <row r="884" ht="12.75" x14ac:dyDescent="0.15"/>
    <row r="885" ht="12.75" x14ac:dyDescent="0.15"/>
    <row r="886" ht="12.75" x14ac:dyDescent="0.15"/>
    <row r="887" ht="12.75" x14ac:dyDescent="0.15"/>
    <row r="888" ht="12.75" x14ac:dyDescent="0.15"/>
    <row r="889" ht="12.75" x14ac:dyDescent="0.15"/>
    <row r="890" ht="12.75" x14ac:dyDescent="0.15"/>
    <row r="891" ht="12.75" x14ac:dyDescent="0.15"/>
    <row r="892" ht="12.75" x14ac:dyDescent="0.15"/>
    <row r="893" ht="12.75" x14ac:dyDescent="0.15"/>
    <row r="894" ht="12.75" x14ac:dyDescent="0.15"/>
    <row r="895" ht="12.75" x14ac:dyDescent="0.15"/>
    <row r="896" ht="12.75" x14ac:dyDescent="0.15"/>
    <row r="897" ht="12.75" x14ac:dyDescent="0.15"/>
    <row r="898" ht="12.75" x14ac:dyDescent="0.15"/>
    <row r="899" ht="12.75" x14ac:dyDescent="0.15"/>
    <row r="900" ht="12.75" x14ac:dyDescent="0.15"/>
    <row r="901" ht="12.75" x14ac:dyDescent="0.15"/>
    <row r="902" ht="12.75" x14ac:dyDescent="0.15"/>
    <row r="903" ht="12.75" x14ac:dyDescent="0.15"/>
    <row r="904" ht="12.75" x14ac:dyDescent="0.15"/>
    <row r="905" ht="12.75" x14ac:dyDescent="0.15"/>
    <row r="906" ht="12.75" x14ac:dyDescent="0.15"/>
    <row r="907" ht="12.75" x14ac:dyDescent="0.15"/>
    <row r="908" ht="12.75" x14ac:dyDescent="0.15"/>
    <row r="909" ht="12.75" x14ac:dyDescent="0.15"/>
    <row r="910" ht="12.75" x14ac:dyDescent="0.15"/>
    <row r="911" ht="12.75" x14ac:dyDescent="0.15"/>
    <row r="912" ht="12.75" x14ac:dyDescent="0.15"/>
    <row r="913" ht="12.75" x14ac:dyDescent="0.15"/>
    <row r="914" ht="12.75" x14ac:dyDescent="0.15"/>
    <row r="915" ht="12.75" x14ac:dyDescent="0.15"/>
    <row r="916" ht="12.75" x14ac:dyDescent="0.15"/>
    <row r="917" ht="12.75" x14ac:dyDescent="0.15"/>
    <row r="918" ht="12.75" x14ac:dyDescent="0.15"/>
    <row r="919" ht="12.75" x14ac:dyDescent="0.15"/>
    <row r="920" ht="12.75" x14ac:dyDescent="0.15"/>
    <row r="921" ht="12.75" x14ac:dyDescent="0.15"/>
    <row r="922" ht="12.75" x14ac:dyDescent="0.15"/>
    <row r="923" ht="12.75" x14ac:dyDescent="0.15"/>
    <row r="924" ht="12.75" x14ac:dyDescent="0.15"/>
    <row r="925" ht="12.75" x14ac:dyDescent="0.15"/>
    <row r="926" ht="12.75" x14ac:dyDescent="0.15"/>
    <row r="927" ht="12.75" x14ac:dyDescent="0.15"/>
    <row r="928" ht="12.75" x14ac:dyDescent="0.15"/>
    <row r="929" ht="12.75" x14ac:dyDescent="0.15"/>
    <row r="930" ht="12.75" x14ac:dyDescent="0.15"/>
    <row r="931" ht="12.75" x14ac:dyDescent="0.15"/>
    <row r="932" ht="12.75" x14ac:dyDescent="0.15"/>
    <row r="933" ht="12.75" x14ac:dyDescent="0.15"/>
    <row r="934" ht="12.75" x14ac:dyDescent="0.15"/>
    <row r="935" ht="12.75" x14ac:dyDescent="0.15"/>
    <row r="936" ht="12.75" x14ac:dyDescent="0.15"/>
    <row r="937" ht="12.75" x14ac:dyDescent="0.15"/>
    <row r="938" ht="12.75" x14ac:dyDescent="0.15"/>
    <row r="939" ht="12.75" x14ac:dyDescent="0.15"/>
    <row r="940" ht="12.75" x14ac:dyDescent="0.15"/>
    <row r="941" ht="12.75" x14ac:dyDescent="0.15"/>
    <row r="942" ht="12.75" x14ac:dyDescent="0.15"/>
    <row r="943" ht="12.75" x14ac:dyDescent="0.15"/>
    <row r="944" ht="12.75" x14ac:dyDescent="0.15"/>
    <row r="945" ht="12.75" x14ac:dyDescent="0.15"/>
    <row r="946" ht="12.75" x14ac:dyDescent="0.15"/>
    <row r="947" ht="12.75" x14ac:dyDescent="0.15"/>
    <row r="948" ht="12.75" x14ac:dyDescent="0.15"/>
    <row r="949" ht="12.75" x14ac:dyDescent="0.15"/>
    <row r="950" ht="12.75" x14ac:dyDescent="0.15"/>
    <row r="951" ht="12.75" x14ac:dyDescent="0.15"/>
    <row r="952" ht="12.75" x14ac:dyDescent="0.15"/>
    <row r="953" ht="12.75" x14ac:dyDescent="0.15"/>
    <row r="954" ht="12.75" x14ac:dyDescent="0.15"/>
    <row r="955" ht="12.75" x14ac:dyDescent="0.15"/>
    <row r="956" ht="12.75" x14ac:dyDescent="0.15"/>
    <row r="957" ht="12.75" x14ac:dyDescent="0.15"/>
    <row r="958" ht="12.75" x14ac:dyDescent="0.15"/>
    <row r="959" ht="12.75" x14ac:dyDescent="0.15"/>
    <row r="960" ht="12.75" x14ac:dyDescent="0.15"/>
    <row r="961" ht="12.75" x14ac:dyDescent="0.15"/>
    <row r="962" ht="12.75" x14ac:dyDescent="0.15"/>
    <row r="963" ht="12.75" x14ac:dyDescent="0.15"/>
    <row r="964" ht="12.75" x14ac:dyDescent="0.15"/>
    <row r="965" ht="12.75" x14ac:dyDescent="0.15"/>
    <row r="966" ht="12.75" x14ac:dyDescent="0.15"/>
    <row r="967" ht="12.75" x14ac:dyDescent="0.15"/>
    <row r="968" ht="12.75" x14ac:dyDescent="0.15"/>
    <row r="969" ht="12.75" x14ac:dyDescent="0.15"/>
    <row r="970" ht="12.75" x14ac:dyDescent="0.15"/>
    <row r="971" ht="12.75" x14ac:dyDescent="0.15"/>
    <row r="972" ht="12.75" x14ac:dyDescent="0.15"/>
    <row r="973" ht="12.75" x14ac:dyDescent="0.15"/>
    <row r="974" ht="12.75" x14ac:dyDescent="0.15"/>
    <row r="975" ht="12.75" x14ac:dyDescent="0.15"/>
    <row r="976" ht="12.75" x14ac:dyDescent="0.15"/>
    <row r="977" ht="12.75" x14ac:dyDescent="0.15"/>
    <row r="978" ht="12.75" x14ac:dyDescent="0.15"/>
    <row r="979" ht="12.75" x14ac:dyDescent="0.15"/>
    <row r="980" ht="12.75" x14ac:dyDescent="0.15"/>
    <row r="981" ht="12.75" x14ac:dyDescent="0.15"/>
    <row r="982" ht="12.75" x14ac:dyDescent="0.15"/>
    <row r="983" ht="12.75" x14ac:dyDescent="0.15"/>
    <row r="984" ht="12.75" x14ac:dyDescent="0.15"/>
    <row r="985" ht="12.75" x14ac:dyDescent="0.15"/>
    <row r="986" ht="12.75" x14ac:dyDescent="0.15"/>
    <row r="987" ht="12.75" x14ac:dyDescent="0.15"/>
    <row r="988" ht="12.75" x14ac:dyDescent="0.15"/>
    <row r="989" ht="12.75" x14ac:dyDescent="0.15"/>
    <row r="990" ht="12.75" x14ac:dyDescent="0.15"/>
    <row r="991" ht="12.75" x14ac:dyDescent="0.15"/>
    <row r="992" ht="12.75" x14ac:dyDescent="0.15"/>
    <row r="993" ht="12.75" x14ac:dyDescent="0.15"/>
    <row r="994" ht="12.75" x14ac:dyDescent="0.15"/>
    <row r="995" ht="12.75" x14ac:dyDescent="0.15"/>
    <row r="996" ht="12.75" x14ac:dyDescent="0.15"/>
    <row r="997" ht="12.75" x14ac:dyDescent="0.15"/>
    <row r="998" ht="12.75" x14ac:dyDescent="0.15"/>
    <row r="999" ht="12.75" x14ac:dyDescent="0.15"/>
    <row r="1000" ht="12.75" x14ac:dyDescent="0.15"/>
  </sheetData>
  <mergeCells count="298">
    <mergeCell ref="A238:C238"/>
    <mergeCell ref="D238:E238"/>
    <mergeCell ref="F238:O238"/>
    <mergeCell ref="A239:C239"/>
    <mergeCell ref="D239:E239"/>
    <mergeCell ref="D242:E242"/>
    <mergeCell ref="C252:G252"/>
    <mergeCell ref="J252:N252"/>
    <mergeCell ref="C253:G253"/>
    <mergeCell ref="J253:N253"/>
    <mergeCell ref="A240:C240"/>
    <mergeCell ref="D240:E240"/>
    <mergeCell ref="F240:O240"/>
    <mergeCell ref="A241:C241"/>
    <mergeCell ref="D241:E241"/>
    <mergeCell ref="A242:C242"/>
    <mergeCell ref="B244:O244"/>
    <mergeCell ref="F229:G229"/>
    <mergeCell ref="H229:I229"/>
    <mergeCell ref="J229:K229"/>
    <mergeCell ref="F230:G230"/>
    <mergeCell ref="H230:I230"/>
    <mergeCell ref="J230:K230"/>
    <mergeCell ref="F231:G231"/>
    <mergeCell ref="F239:K239"/>
    <mergeCell ref="L239:O239"/>
    <mergeCell ref="H231:I231"/>
    <mergeCell ref="J231:K231"/>
    <mergeCell ref="H228:I228"/>
    <mergeCell ref="J228:K228"/>
    <mergeCell ref="F226:G226"/>
    <mergeCell ref="H226:I226"/>
    <mergeCell ref="J226:K226"/>
    <mergeCell ref="F227:G227"/>
    <mergeCell ref="H227:I227"/>
    <mergeCell ref="J227:K227"/>
    <mergeCell ref="F228:G228"/>
    <mergeCell ref="F213:G213"/>
    <mergeCell ref="H213:I213"/>
    <mergeCell ref="J213:K213"/>
    <mergeCell ref="H216:I216"/>
    <mergeCell ref="J216:K216"/>
    <mergeCell ref="F214:G214"/>
    <mergeCell ref="H214:I214"/>
    <mergeCell ref="J214:K214"/>
    <mergeCell ref="F215:G215"/>
    <mergeCell ref="H215:I215"/>
    <mergeCell ref="J215:K215"/>
    <mergeCell ref="F216:G216"/>
    <mergeCell ref="N182:O182"/>
    <mergeCell ref="N183:O183"/>
    <mergeCell ref="N184:O184"/>
    <mergeCell ref="N185:O185"/>
    <mergeCell ref="N186:O186"/>
    <mergeCell ref="A187:E187"/>
    <mergeCell ref="N187:O187"/>
    <mergeCell ref="N188:O188"/>
    <mergeCell ref="A188:E188"/>
    <mergeCell ref="N174:O174"/>
    <mergeCell ref="N175:O175"/>
    <mergeCell ref="A176:E176"/>
    <mergeCell ref="N176:O176"/>
    <mergeCell ref="N177:O177"/>
    <mergeCell ref="N178:O178"/>
    <mergeCell ref="N179:O179"/>
    <mergeCell ref="N180:O180"/>
    <mergeCell ref="N181:O181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44:O144"/>
    <mergeCell ref="A145:E145"/>
    <mergeCell ref="N152:O152"/>
    <mergeCell ref="N153:O153"/>
    <mergeCell ref="N154:O154"/>
    <mergeCell ref="A155:E155"/>
    <mergeCell ref="N155:O155"/>
    <mergeCell ref="N145:O145"/>
    <mergeCell ref="N146:O146"/>
    <mergeCell ref="N147:O147"/>
    <mergeCell ref="N148:O148"/>
    <mergeCell ref="N149:O149"/>
    <mergeCell ref="N150:O150"/>
    <mergeCell ref="N151:O151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27:O127"/>
    <mergeCell ref="N128:O128"/>
    <mergeCell ref="N129:O129"/>
    <mergeCell ref="N130:O130"/>
    <mergeCell ref="N131:O131"/>
    <mergeCell ref="A132:E132"/>
    <mergeCell ref="N132:O132"/>
    <mergeCell ref="N133:O133"/>
    <mergeCell ref="N134:O134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A117:E117"/>
    <mergeCell ref="N117:O117"/>
    <mergeCell ref="N88:O88"/>
    <mergeCell ref="A89:E89"/>
    <mergeCell ref="N89:O89"/>
    <mergeCell ref="A106:A108"/>
    <mergeCell ref="B106:B108"/>
    <mergeCell ref="C106:C108"/>
    <mergeCell ref="D106:D108"/>
    <mergeCell ref="E106:F108"/>
    <mergeCell ref="G106:G108"/>
    <mergeCell ref="H106:I106"/>
    <mergeCell ref="J106:K106"/>
    <mergeCell ref="L106:M106"/>
    <mergeCell ref="N106:O10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55:O55"/>
    <mergeCell ref="N56:O56"/>
    <mergeCell ref="N57:O57"/>
    <mergeCell ref="N58:O58"/>
    <mergeCell ref="N59:O59"/>
    <mergeCell ref="N67:O67"/>
    <mergeCell ref="N68:O68"/>
    <mergeCell ref="A69:E69"/>
    <mergeCell ref="N69:O69"/>
    <mergeCell ref="N60:O60"/>
    <mergeCell ref="N61:O61"/>
    <mergeCell ref="N62:O62"/>
    <mergeCell ref="N63:O63"/>
    <mergeCell ref="N64:O64"/>
    <mergeCell ref="N65:O65"/>
    <mergeCell ref="N66:O66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44:O44"/>
    <mergeCell ref="A45:E45"/>
    <mergeCell ref="N45:O45"/>
    <mergeCell ref="N36:O36"/>
    <mergeCell ref="N37:O37"/>
    <mergeCell ref="N38:O38"/>
    <mergeCell ref="N39:O39"/>
    <mergeCell ref="N40:O40"/>
    <mergeCell ref="N41:O41"/>
    <mergeCell ref="N42:O42"/>
    <mergeCell ref="N28:O28"/>
    <mergeCell ref="N29:O29"/>
    <mergeCell ref="N30:O30"/>
    <mergeCell ref="N31:O31"/>
    <mergeCell ref="N32:O32"/>
    <mergeCell ref="N33:O33"/>
    <mergeCell ref="N34:O34"/>
    <mergeCell ref="N35:O35"/>
    <mergeCell ref="N43:O43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A1:N1"/>
    <mergeCell ref="C2:M2"/>
    <mergeCell ref="C3:M3"/>
    <mergeCell ref="C4:M4"/>
    <mergeCell ref="C6:D6"/>
    <mergeCell ref="A7:A9"/>
    <mergeCell ref="B7:B9"/>
    <mergeCell ref="L7:M7"/>
    <mergeCell ref="N7:O9"/>
    <mergeCell ref="F235:G235"/>
    <mergeCell ref="H235:I235"/>
    <mergeCell ref="J235:K235"/>
    <mergeCell ref="F236:G236"/>
    <mergeCell ref="H236:I236"/>
    <mergeCell ref="J236:K236"/>
    <mergeCell ref="C7:C9"/>
    <mergeCell ref="D7:D9"/>
    <mergeCell ref="B10:C10"/>
    <mergeCell ref="E7:F9"/>
    <mergeCell ref="G7:G9"/>
    <mergeCell ref="H7:I7"/>
    <mergeCell ref="J7:K7"/>
    <mergeCell ref="B109:C109"/>
    <mergeCell ref="E209:K209"/>
    <mergeCell ref="F210:G210"/>
    <mergeCell ref="H210:I210"/>
    <mergeCell ref="J210:K210"/>
    <mergeCell ref="H211:I211"/>
    <mergeCell ref="J211:K211"/>
    <mergeCell ref="F211:G211"/>
    <mergeCell ref="F212:G212"/>
    <mergeCell ref="H212:I212"/>
    <mergeCell ref="J212:K212"/>
    <mergeCell ref="H225:I225"/>
    <mergeCell ref="J225:K225"/>
    <mergeCell ref="F223:G223"/>
    <mergeCell ref="H223:I223"/>
    <mergeCell ref="J223:K223"/>
    <mergeCell ref="F224:G224"/>
    <mergeCell ref="H224:I224"/>
    <mergeCell ref="J224:K224"/>
    <mergeCell ref="F225:G225"/>
    <mergeCell ref="H222:I222"/>
    <mergeCell ref="J222:K222"/>
    <mergeCell ref="F220:G220"/>
    <mergeCell ref="H220:I220"/>
    <mergeCell ref="J220:K220"/>
    <mergeCell ref="F221:G221"/>
    <mergeCell ref="H221:I221"/>
    <mergeCell ref="J221:K221"/>
    <mergeCell ref="F222:G222"/>
    <mergeCell ref="H219:I219"/>
    <mergeCell ref="J219:K219"/>
    <mergeCell ref="F217:G217"/>
    <mergeCell ref="H217:I217"/>
    <mergeCell ref="J217:K217"/>
    <mergeCell ref="F218:G218"/>
    <mergeCell ref="H218:I218"/>
    <mergeCell ref="J218:K218"/>
    <mergeCell ref="F219:G219"/>
    <mergeCell ref="H234:I234"/>
    <mergeCell ref="J234:K234"/>
    <mergeCell ref="F232:G232"/>
    <mergeCell ref="H232:I232"/>
    <mergeCell ref="J232:K232"/>
    <mergeCell ref="F233:G233"/>
    <mergeCell ref="H233:I233"/>
    <mergeCell ref="J233:K233"/>
    <mergeCell ref="F234:G234"/>
  </mergeCells>
  <pageMargins left="0.2" right="0.2" top="0.2" bottom="0.2" header="0" footer="0"/>
  <pageSetup paperSize="9" orientation="portrait"/>
  <headerFooter>
    <oddHeader>&amp;R QF-LDC-07 page &amp;P of</oddHeader>
  </headerFooter>
  <rowBreaks count="1" manualBreakCount="1">
    <brk id="10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Saifullah, Md. Tarique</dc:creator>
  <dcterms:created xsi:type="dcterms:W3CDTF">2026-06-07T17:16:05Z</dcterms:created>
</cp:coreProperties>
</file>